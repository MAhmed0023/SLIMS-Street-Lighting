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ummary" sheetId="1" r:id="rId1"/>
    <sheet name="Gap Register" sheetId="2" r:id="rId2"/>
    <sheet name="Test Results" sheetId="3" r:id="rId3"/>
    <sheet name="Defects" sheetId="4" r:id="rId4"/>
    <sheet name="Deployment Check" sheetId="5" r:id="rId5"/>
    <sheet name="Rules &amp; Reports" sheetId="6" r:id="rId6"/>
    <sheet name="Remediation Plan" sheetId="7" r:id="rId7"/>
    <sheet name="Legend" sheetId="8" r:id="rId8"/>
  </sheets>
  <definedNames>
    <definedName name="_xlnm._FilterDatabase" localSheetId="1" hidden="1">'Gap Register'!$A$4:$O$126</definedName>
    <definedName name="_xlnm._FilterDatabase" localSheetId="2" hidden="1">'Test Results'!$A$4:$I$34</definedName>
    <definedName name="_xlnm._FilterDatabase" localSheetId="4" hidden="1">'Deployment Check'!$A$4:$F$20</definedName>
    <definedName name="_xlnm.Print_Area" localSheetId="0">Summary!$A$1:$J$63</definedName>
    <definedName name="_xlnm.Print_Titles" localSheetId="1">'Gap Register'!$4:$4</definedName>
    <definedName name="_xlnm.Print_Area" localSheetId="1">'Gap Register'!$A$1:$O$126</definedName>
    <definedName name="_xlnm.Print_Titles" localSheetId="2">'Test Results'!$4:$4</definedName>
    <definedName name="_xlnm.Print_Area" localSheetId="2">'Test Results'!$A$1:$I$64</definedName>
    <definedName name="_xlnm.Print_Titles" localSheetId="3">Defects!$4:$4</definedName>
    <definedName name="_xlnm.Print_Area" localSheetId="3">Defects!$A$1:$H$10</definedName>
    <definedName name="_xlnm.Print_Titles" localSheetId="4">'Deployment Check'!$4:$4</definedName>
    <definedName name="_xlnm.Print_Area" localSheetId="4">'Deployment Check'!$A$1:$F$20</definedName>
    <definedName name="_xlnm.Print_Area" localSheetId="5">'Rules &amp; Reports'!$A$1:$D$81</definedName>
    <definedName name="_xlnm.Print_Area" localSheetId="6">'Remediation Plan'!$A$1:$I$18</definedName>
    <definedName name="_xlnm.Print_Area" localSheetId="7">Legend!$A$1:$F$34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Gap analysis</author>
  </authors>
  <commentList>
    <comment ref="B29" authorId="0">
      <text>
        <r>
          <rPr>
            <sz val="10"/>
            <rFont val="SimSun"/>
            <charset val="134"/>
          </rPr>
          <t>Analyst's planning estimate for sequencing waves, not a quotation. Adjust to the implementation team's own estimates.</t>
        </r>
      </text>
    </comment>
  </commentList>
</comments>
</file>

<file path=xl/sharedStrings.xml><?xml version="1.0" encoding="utf-8"?>
<sst xmlns="http://schemas.openxmlformats.org/spreadsheetml/2006/main" count="2950" uniqueCount="1426">
  <si>
    <t>SLIMS gap analysis — FRD-GSL-001 v1.0 against the current build</t>
  </si>
  <si>
    <t>Assessed 2026-09-18 · static code review of every requirement + live acceptance run · all figures are formulas over the other sheets</t>
  </si>
  <si>
    <t>Headline</t>
  </si>
  <si>
    <t>Requirements</t>
  </si>
  <si>
    <t>Met</t>
  </si>
  <si>
    <t>Partially met</t>
  </si>
  <si>
    <t>Not met</t>
  </si>
  <si>
    <t>Readiness</t>
  </si>
  <si>
    <t>Must-have readiness</t>
  </si>
  <si>
    <t>Acceptance tests (30)</t>
  </si>
  <si>
    <t>Count</t>
  </si>
  <si>
    <t>All FRD requirements</t>
  </si>
  <si>
    <t>PASS</t>
  </si>
  <si>
    <t>Readiness weights a Partially met requirement at the value set on the Legend sheet.</t>
  </si>
  <si>
    <t>PASS*</t>
  </si>
  <si>
    <t>PARTIAL</t>
  </si>
  <si>
    <t>Module</t>
  </si>
  <si>
    <t>% met</t>
  </si>
  <si>
    <t>NOT BUILT</t>
  </si>
  <si>
    <t>Master Data</t>
  </si>
  <si>
    <t>FAIL</t>
  </si>
  <si>
    <t>Inventory &amp; Stores</t>
  </si>
  <si>
    <t>Total</t>
  </si>
  <si>
    <t>Requisition &amp; Workflow</t>
  </si>
  <si>
    <t>Field Installation</t>
  </si>
  <si>
    <t>Defects (gap analysis)</t>
  </si>
  <si>
    <t>Exception Management</t>
  </si>
  <si>
    <t>Fixed</t>
  </si>
  <si>
    <t>Reporting &amp; Dashboards</t>
  </si>
  <si>
    <t>Still open</t>
  </si>
  <si>
    <t>Notifications &amp; Alerts</t>
  </si>
  <si>
    <t>Security, Access &amp; Audit</t>
  </si>
  <si>
    <t>Other coverage — met</t>
  </si>
  <si>
    <t>Met / total</t>
  </si>
  <si>
    <t>Business rules</t>
  </si>
  <si>
    <t>Priority</t>
  </si>
  <si>
    <t>Reports</t>
  </si>
  <si>
    <t>M — Must have</t>
  </si>
  <si>
    <t>Notifications</t>
  </si>
  <si>
    <t>S — Should have</t>
  </si>
  <si>
    <t>C — Could have</t>
  </si>
  <si>
    <t>Deployment check (LAN)</t>
  </si>
  <si>
    <t>Checks</t>
  </si>
  <si>
    <t>Remediation wave</t>
  </si>
  <si>
    <t>Work packages</t>
  </si>
  <si>
    <t>Est. person-days</t>
  </si>
  <si>
    <t>Open requirements addressed</t>
  </si>
  <si>
    <t>To verify</t>
  </si>
  <si>
    <t>Wave 0 — Fix now</t>
  </si>
  <si>
    <t>Risk</t>
  </si>
  <si>
    <t>Wave 1 — Align</t>
  </si>
  <si>
    <t>Not tested</t>
  </si>
  <si>
    <t>Wave 2 — Field app</t>
  </si>
  <si>
    <t>Wave 3 — Stock control</t>
  </si>
  <si>
    <t>Blocked</t>
  </si>
  <si>
    <t>Wave 4 — Notify &amp; report</t>
  </si>
  <si>
    <t>Person-days are planning estimates from the size table on the Legend sheet — adjust there.</t>
  </si>
  <si>
    <t>Key findings</t>
  </si>
  <si>
    <t>1.  Remediation of 18-09-2026: every requirement that was Not met is now Met — the SLIMS Field Android app (live capture, mock-location detection, offline queue, device binding), evidence integrity, the quantity ledger with transfers, adjustments, physical verification and reconciliation, the approval matrix, notifications with escalation, drill-down, map and scheduled reports.</t>
  </si>
  <si>
    <t>2.  All six defects are fixed and their probes pass in the acceptance run, including the two High ones (DF-01 audit scope, DF-06 cancel scope).</t>
  </si>
  <si>
    <t>3.  What remains is Partially met: mostly vocabulary and structure the FRD settled in reconciliation (roles, Store → Rack → Shelf → Bin naming, evidence status values), the over-receipt exception route (TC-05), refused attempts in the audit trail (TC-27) and before-values on every stock movement (TC-30).</t>
  </si>
  <si>
    <t>4.  The core control chain works end to end: QR receipt against PO into Receiving, put-away, site-bound requisition with delegated approval, scan-based issue, geo-fence validation from the bound phone, quarantine returns with a Usable route, warranty and approved disposal.</t>
  </si>
  <si>
    <t>5.  E-mail and SMS copies need only the department's own mail server and SMS gateway entered under Parameters; nothing paid is built in.</t>
  </si>
  <si>
    <t>6.  The LAN deployment behaves exactly like development and is fast, but it is not ready for field roll-out. It serves plain HTTP, so phone browsers refuse GPS to the evidence screen. It also has no backup, no trusted time source and no auto-restart. See the Deployment Check sheet.</t>
  </si>
  <si>
    <t>Gap register — every FRD-GSL-001 requirement against the current build</t>
  </si>
  <si>
    <t>Filter by module, status, priority or work package. Edit Status as work lands; Wave is looked up from the Remediation Plan.</t>
  </si>
  <si>
    <t>FR ID</t>
  </si>
  <si>
    <t>Area</t>
  </si>
  <si>
    <t>Requirement (FRD-GSL-001)</t>
  </si>
  <si>
    <t>Pri.</t>
  </si>
  <si>
    <t>Process stage</t>
  </si>
  <si>
    <t>Status</t>
  </si>
  <si>
    <t>Current build (evidence)</t>
  </si>
  <si>
    <t>Gap</t>
  </si>
  <si>
    <t>Remediation</t>
  </si>
  <si>
    <t>Work package</t>
  </si>
  <si>
    <t>Wave</t>
  </si>
  <si>
    <t>Acceptance tests</t>
  </si>
  <si>
    <t>Test results</t>
  </si>
  <si>
    <t>Source trace</t>
  </si>
  <si>
    <t>FR-MDM-001</t>
  </si>
  <si>
    <t>Item / article master</t>
  </si>
  <si>
    <t>The system shall create articles article-wise, one per purchase order line, with a unique Item Code composed as CATEGORY-SUBCATEGORY-SPECIFICATION-PO-LINE (for example `LUM-LED-090W-PO2611-001`). The PO number and line are part of the code and remain attached to the item for life.</t>
  </si>
  <si>
    <t>M</t>
  </si>
  <si>
    <t>1 Procurement / PO</t>
  </si>
  <si>
    <t>MasterService.CreateArticleAsync builds CAT-SUB-SPEC-PO-LINE through Codes.ItemCode; an article needs an open PO line.</t>
  </si>
  <si>
    <t>—</t>
  </si>
  <si>
    <t/>
  </si>
  <si>
    <t>G: §5.1 · S: FR-MD-05, BR-003, BR-004</t>
  </si>
  <si>
    <t>FR-MDM-002</t>
  </si>
  <si>
    <t>The article master shall hold description, category, sub-category, specification / model, unit of measure, serialised or bulk tracking, pack size, rate, warranty period, expected service life, re-order level, status (Active, Blocked, Obsolete) and PO reference history.</t>
  </si>
  <si>
    <t>Article entity holds every listed field; PO reference kept through the PO line.</t>
  </si>
  <si>
    <t>G: §5.1 · S: §9.3</t>
  </si>
  <si>
    <t>FR-MDM-003</t>
  </si>
  <si>
    <t>The unit of measure of an article shall be locked once any transaction exists against it.</t>
  </si>
  <si>
    <t>Article UoM cannot be changed after creation (UpdateArticleAsync edits only re-order level, status, life).</t>
  </si>
  <si>
    <t>The PO line's UoM can still be changed through the API — see DF-04.</t>
  </si>
  <si>
    <t>Covered by the DF-04 fix.</t>
  </si>
  <si>
    <t>WP-00</t>
  </si>
  <si>
    <t>S: FR-MD-08, BR-028</t>
  </si>
  <si>
    <t>FR-MDM-004</t>
  </si>
  <si>
    <t>A Blocked or Obsolete article shall not be selectable on a requisition or issuable; its existing stock remains visible in all enquiries.</t>
  </si>
  <si>
    <t>Requisition creation refuses a Blocked or Obsolete article (RequisitionService.CreateAsync).</t>
  </si>
  <si>
    <t>Issue does not re-check article status, so an article blocked after approval can still be issued.</t>
  </si>
  <si>
    <t>Re-check article status at issue scan and posting.</t>
  </si>
  <si>
    <t>G: §5.1</t>
  </si>
  <si>
    <t>FR-MDM-005</t>
  </si>
  <si>
    <t>QR identification</t>
  </si>
  <si>
    <t>On article creation the system shall generate one unique QR identifier per serialised unit, or per pack / batch for bulk articles. The payload shall carry the item code, a serial number and a check value derived from both (format in Section 8.5).</t>
  </si>
  <si>
    <t>One label per piece or pack with SHA-256-derived check value (Codes.QrPayload).</t>
  </si>
  <si>
    <t>G: §5.5 · S: FR-MD-06</t>
  </si>
  <si>
    <t>FR-MDM-006</t>
  </si>
  <si>
    <t>A QR identifier shall be unique across the whole system and never reused, including after the item is disposed. A scan shall never create a duplicate item record.</t>
  </si>
  <si>
    <t>Unique indexes on QR payload and (article, serial); forged and repeated labels refused (TC-03, TC-04).</t>
  </si>
  <si>
    <t>TC-03, TC-04</t>
  </si>
  <si>
    <t>TC-03 PASS; TC-04 PASS</t>
  </si>
  <si>
    <t>G: §10, Rule 2 · S: BR-002</t>
  </si>
  <si>
    <t>FR-MDM-007</t>
  </si>
  <si>
    <t>Scanning a QR in any function shall retrieve the item record with its current status, current store location or site, PO reference and full transaction history.</t>
  </si>
  <si>
    <t>4 Store Inventory</t>
  </si>
  <si>
    <t>GET /api/items/{id or QR} returns status, location or site, PO and history; every scan response carries the item state.</t>
  </si>
  <si>
    <t>G: §5.5, FR-14 · S: FR-IC-09</t>
  </si>
  <si>
    <t>FR-MDM-008</t>
  </si>
  <si>
    <t>The system shall print label sheets showing the QR symbol, item code, description, PO number and serial. A re-print shall carry the same identifier and be logged against the item with the reason.</t>
  </si>
  <si>
    <t>Label sheet generated; every re-print is logged as “print #n” (MasterService.LabelsAsync).</t>
  </si>
  <si>
    <t>No reason is captured for a re-print.</t>
  </si>
  <si>
    <t>Ask for and store a reason when a label is re-printed.</t>
  </si>
  <si>
    <t>WP-03</t>
  </si>
  <si>
    <t>S: FR-MD-07, FR-MD-14</t>
  </si>
  <si>
    <t>FR-MDM-009</t>
  </si>
  <si>
    <t>Purchase order reference</t>
  </si>
  <si>
    <t>The system shall hold approved purchase order references — PO number, vendor, PO date, delivery due date, warranty terms and lines (item description, category, specification, unit, quantity, rate) — entered by Procurement / Admin or received by interface.</t>
  </si>
  <si>
    <t>POs, vendors and lines entered on the Purchase Orders screen (MasterService.UpsertPoAsync).</t>
  </si>
  <si>
    <t>Inbound PO interface (INT-01) not built — entry is manual. PO lines with articles are not locked at the API (DF-04).</t>
  </si>
  <si>
    <t>Build INT-01 when the procurement system is available.</t>
  </si>
  <si>
    <t>G: §5.2, FR-01 · S: INT-01</t>
  </si>
  <si>
    <t>FR-MDM-010</t>
  </si>
  <si>
    <t>For every PO line the system shall maintain ordered, received and outstanding quantities, updated on each receipt and each reversal.</t>
  </si>
  <si>
    <t>Ordered, received and outstanding shown per PO line, recomputed from item status.</t>
  </si>
  <si>
    <t>G: §5.2</t>
  </si>
  <si>
    <t>FR-MDM-011</t>
  </si>
  <si>
    <t>Procurement / Admin shall be able to close and re-open a PO. A closed PO accepts no further receipts.</t>
  </si>
  <si>
    <t>S</t>
  </si>
  <si>
    <t>PO open / close toggle; closed PO refuses receipts.</t>
  </si>
  <si>
    <t>FR-MDM-012</t>
  </si>
  <si>
    <t>Store location master</t>
  </si>
  <si>
    <t>The system shall maintain store locations in the hierarchy Store / Warehouse → Rack → Shelf → Bin and generate a unique location code for each bin (for example `CEN01-R04-S02-B12`). Stock balance shall be held at bin level.</t>
  </si>
  <si>
    <t>3 QR Scan &amp; Put-away</t>
  </si>
  <si>
    <t>Locations are Store ▸ Section ▸ Rack ▸ Bin (StoreLocation entity).</t>
  </si>
  <si>
    <t>No Shelf level; hierarchy differs from Store → Rack → Shelf → Bin.</t>
  </si>
  <si>
    <t>Restructure to Rack / Shelf / Bin and regenerate location codes.</t>
  </si>
  <si>
    <t>WP-02</t>
  </si>
  <si>
    <t>G: §5.3, FR-03 · S: §9.1</t>
  </si>
  <si>
    <t>FR-MDM-013</t>
  </si>
  <si>
    <t>Each location shall be typed Receiving, Stock, Quarantine, Repair or Scrap. Only Stock locations hold issuable material. Every store shall have at least one location of each type.</t>
  </si>
  <si>
    <t>Location kinds Stock, Quarantine and Scrap; new stores get a Quarantine and a Scrap bin automatically.</t>
  </si>
  <si>
    <t>No Receiving or Repair location types.</t>
  </si>
  <si>
    <t>Add Receiving and Repair kinds.</t>
  </si>
  <si>
    <t>G: §7 · S: BR-018</t>
  </si>
  <si>
    <t>FR-MDM-014</t>
  </si>
  <si>
    <t>A store or location holding stock shall not be deactivated.</t>
  </si>
  <si>
    <t>Deactivating a store or bin holding stock is refused (BR-024 check in MasterService).</t>
  </si>
  <si>
    <t>S: BR-024</t>
  </si>
  <si>
    <t>FR-MDM-015</t>
  </si>
  <si>
    <t>Site master</t>
  </si>
  <si>
    <t>The system shall maintain one record per lighting site with a unique Site ID, name / description, administrative hierarchy (Zone → Division → Ward / UC), site type, latitude and longitude to six decimal places, geofence radius, tolerance, assigned Lighting Supervisor and Lighting Officer, and status (Planned, Active, Completed, On hold).</t>
  </si>
  <si>
    <t>5 Digital Requisition</t>
  </si>
  <si>
    <t>Site record holds ID, name, zone, division, ward, type, coordinates, geofence, supervisor, officer, status.</t>
  </si>
  <si>
    <t>Tolerance is a single global parameter; no per-site tolerance.</t>
  </si>
  <si>
    <t>Add an optional per-site tolerance.</t>
  </si>
  <si>
    <t>WP-12</t>
  </si>
  <si>
    <t>G: §5.4, Rule 10 · S: §9.2</t>
  </si>
  <si>
    <t>FR-MDM-016</t>
  </si>
  <si>
    <t>Sites shall be loadable in bulk from a survey file, with every row validated and rejected rows reported with the reason.</t>
  </si>
  <si>
    <t>POST /api/sites/bulk takes a JSON array and reports errors by row.</t>
  </si>
  <si>
    <t>No CSV / Excel survey-file upload in the portal.</t>
  </si>
  <si>
    <t>Accept CSV and Excel files and map columns.</t>
  </si>
  <si>
    <t>S: FR-MD-04</t>
  </si>
  <si>
    <t>FR-MDM-017</t>
  </si>
  <si>
    <t>Changing the coordinates or geofence of a site that has had material issued to it shall require authorised approval, and the previous values shall be retained in the site history.</t>
  </si>
  <si>
    <t>Changing coordinates of a site with issued material needs a configuring role; previous values kept in the audit trail.</t>
  </si>
  <si>
    <t>No approval step and no site-history view.</t>
  </si>
  <si>
    <t>Route the change for approval and show site history.</t>
  </si>
  <si>
    <t>G: §9 · S: BR-025</t>
  </si>
  <si>
    <t>FR-MDM-018</t>
  </si>
  <si>
    <t>Scope, reason codes and parameters</t>
  </si>
  <si>
    <t>The system shall maintain the organisational hierarchy used for data scope (Zone, Division, Ward / UC) and the assignment of users to stores and sites.</t>
  </si>
  <si>
    <t>11 Reporting</t>
  </si>
  <si>
    <t>Scope is zone plus optional stores and sites per user.</t>
  </si>
  <si>
    <t>No Division or Ward / UC level of scope.</t>
  </si>
  <si>
    <t>Add division and ward levels to the scope model.</t>
  </si>
  <si>
    <t>G: §4</t>
  </si>
  <si>
    <t>FR-MDM-019</t>
  </si>
  <si>
    <t>The system shall maintain reason-code lists for requisition rejection, receipt discrepancy, failure and condition, stock adjustment and exception resolution.</t>
  </si>
  <si>
    <t>Failure reasons are a configurable list.</t>
  </si>
  <si>
    <t>Rejection, discrepancy, adjustment and resolution reasons are free text.</t>
  </si>
  <si>
    <t>Add maintained reason-code lists and use them on those screens.</t>
  </si>
  <si>
    <t>WP-01</t>
  </si>
  <si>
    <t>S: §9.5</t>
  </si>
  <si>
    <t>FR-MDM-020</t>
  </si>
  <si>
    <t>Authorised administrators shall configure, without code changes: default geofence radius, tolerance, minimum GPS accuracy, permitted clock drift, return period, reservation validity, acknowledgement period, ageing threshold, evidence size limit and minimum justification length.</t>
  </si>
  <si>
    <t>Ten parameters editable on the Parameters screen.</t>
  </si>
  <si>
    <t>Minimum justification length is hard-coded (10); reservation validity is stored but has no effect.</t>
  </si>
  <si>
    <t>Make the justification length a parameter; implement the reservation lapse.</t>
  </si>
  <si>
    <t>G: §14 · S: FR-MD-12</t>
  </si>
  <si>
    <t>FR-INV-001</t>
  </si>
  <si>
    <t>Goods receipt</t>
  </si>
  <si>
    <t>The Store / Warehouse Officer shall start a receipt by selecting an open PO. The system shall display each PO line with ordered, received and outstanding quantity.</t>
  </si>
  <si>
    <t>2 Goods Receipt</t>
  </si>
  <si>
    <t>Goods Receipt screen lists open POs with ordered, received and outstanding (TC-01).</t>
  </si>
  <si>
    <t>G: FR-01, Rule 1 · S: FR-GR-01</t>
  </si>
  <si>
    <t>FR-INV-002</t>
  </si>
  <si>
    <t>Each serialised or controlled item shall be received by scanning its QR. On every scan the system shall validate that the label is genuine, belongs to the selected PO, has not already been received, and that the receipt will not exceed the PO line balance — and show the result immediately.</t>
  </si>
  <si>
    <t>Every scan validated for label, PO, prior receipt and balance (GrnService.ValidateAsync; TC-01, 03, 04).</t>
  </si>
  <si>
    <t>TC-01, TC-03</t>
  </si>
  <si>
    <t>TC-01 PASS; TC-03 PASS</t>
  </si>
  <si>
    <t>G: FR-01, FR-02, Rule 2 · S: FR-GR-02, FR-GR-03</t>
  </si>
  <si>
    <t>FR-INV-003</t>
  </si>
  <si>
    <t>Receipt without a PO reference shall not be possible through the standard receipt function.</t>
  </si>
  <si>
    <t>A receipt cannot be posted without a PO (TC-02).</t>
  </si>
  <si>
    <t>Refused as “PO not found” rather than a prompt to select a PO.</t>
  </si>
  <si>
    <t>Align the message with VAL-INV-001.</t>
  </si>
  <si>
    <t>TC-02</t>
  </si>
  <si>
    <t>TC-02 PASS*</t>
  </si>
  <si>
    <t>G: Rule 1</t>
  </si>
  <si>
    <t>FR-INV-004</t>
  </si>
  <si>
    <t>Receipt beyond the PO line balance shall be blocked unless an over-receipt exception is recorded with a reason and approved by an authorised officer; the exception is linked to the GRN.</t>
  </si>
  <si>
    <t>Receipt beyond PO balance is blocked (TC-05).</t>
  </si>
  <si>
    <t>No over-receipt exception request or approval.</t>
  </si>
  <si>
    <t>Add over-receipt exception with reason and Approving Officer approval.</t>
  </si>
  <si>
    <t>TC-05</t>
  </si>
  <si>
    <t>TC-05 PARTIAL</t>
  </si>
  <si>
    <t>G: §5.2, Rule 9 · S: BR-014</t>
  </si>
  <si>
    <t>FR-INV-005</t>
  </si>
  <si>
    <t>The receiver shall record the physical condition of the consignment and may reject individual items with a reason code and optional photograph. Rejected items do not enter stock.</t>
  </si>
  <si>
    <t>GrnService.PostAsync records the consignment condition and per-label rejection with reason code and optional photograph; rejected labels never enter stock and raise a Rejected discrepancy note (FR-INV-005 check). Implemented 18-09-2026.</t>
  </si>
  <si>
    <t>G: §7, §8 · S: FR-GR-05</t>
  </si>
  <si>
    <t>FR-INV-006</t>
  </si>
  <si>
    <t>The system shall generate a discrepancy / short-receipt note for any shortage, excess or rejection and route it to Procurement / Admin, who record its resolution.</t>
  </si>
  <si>
    <t>Discrepancy notes raised by hand and resolved by Procurement (GrnService.RaiseDiscrepancyAsync).</t>
  </si>
  <si>
    <t>Notes are not generated automatically from a short or rejected receipt.</t>
  </si>
  <si>
    <t>Generate the note from the receipt.</t>
  </si>
  <si>
    <t>G: FR-12 · S: FR-GR-06</t>
  </si>
  <si>
    <t>FR-INV-007</t>
  </si>
  <si>
    <t>The receipt shall capture delivery challan number, invoice number and date, receipt date and receiver, and generate a sequential, non-editable GRN number.</t>
  </si>
  <si>
    <t>GRN number, challan, invoice number and date, receiver and time recorded.</t>
  </si>
  <si>
    <t>TC-01</t>
  </si>
  <si>
    <t>TC-01 PASS</t>
  </si>
  <si>
    <t>G: §8 · S: FR-GR-09, FR-GR-10</t>
  </si>
  <si>
    <t>FR-INV-008</t>
  </si>
  <si>
    <t>Partial receipt against a PO line shall be supported; the balance remains open for later receipts.</t>
  </si>
  <si>
    <t>Partial receipt leaves the PO line open.</t>
  </si>
  <si>
    <t>S: FR-GR-11</t>
  </si>
  <si>
    <t>FR-INV-009</t>
  </si>
  <si>
    <t>An authorised user may reverse a GRN, with a reason, provided none of its items has moved on. Both the original and the reversal remain visible.</t>
  </si>
  <si>
    <t>GRN reversal with reason while no item has moved on (GrnService.ReverseAsync).</t>
  </si>
  <si>
    <t>S: FR-GR-13, BR-022</t>
  </si>
  <si>
    <t>FR-INV-010</t>
  </si>
  <si>
    <t>Put-away and location</t>
  </si>
  <si>
    <t>Received items shall first be held in the store's Receiving location and shall not be available for requisition or issue.</t>
  </si>
  <si>
    <t>Receipts land in the store's Receiving location (StoreControlService.ReceivingLocationAsync); availability and issue accept only Stock bins (TC-06). Implemented 18-09-2026.</t>
  </si>
  <si>
    <t>TC-06</t>
  </si>
  <si>
    <t>TC-06 PASS</t>
  </si>
  <si>
    <t>G: §7</t>
  </si>
  <si>
    <t>FR-INV-011</t>
  </si>
  <si>
    <t>Put-away shall be recorded by scanning the item and the destination bin (Store → Rack → Shelf → Bin). The item becomes available only after successful put-away. Where the officer bins on receipt, receipt and put-away may be recorded in one step.</t>
  </si>
  <si>
    <t>The bin is chosen on the receipt and must be an active Stock bin.</t>
  </si>
  <si>
    <t>No scan-to-bin put-away step.</t>
  </si>
  <si>
    <t>Add put-away by scanning bin then items.</t>
  </si>
  <si>
    <t>G: FR-03, §7 · S: FR-GR-07, BR-005</t>
  </si>
  <si>
    <t>FR-INV-012</t>
  </si>
  <si>
    <t>Internal moves between bins shall be recorded by scanning the item and the new bin; the ledger records both locations.</t>
  </si>
  <si>
    <t>StoreControlService.MoveAsync: scan items and the bin label (SLIMSLOC|…); the ledger records both locations; put-away screen in the portal. Implemented 18-09-2026.</t>
  </si>
  <si>
    <t>G: §10</t>
  </si>
  <si>
    <t>FR-INV-013</t>
  </si>
  <si>
    <t>Stock ledger and balances</t>
  </si>
  <si>
    <t>Every stock movement — receipt, put-away, bin move, transfer, issue, return, re-inward, adjustment and disposal — shall post a ledger entry with item, quantity, from and to location or site, transaction ID, user and timestamp.</t>
  </si>
  <si>
    <t>Each movement is written per item to the audit trail with from / to details.</t>
  </si>
  <si>
    <t>No quantity ledger with transaction IDs.</t>
  </si>
  <si>
    <t>Introduce a stock ledger table posted by every movement.</t>
  </si>
  <si>
    <t>WP-09</t>
  </si>
  <si>
    <t>TC-15</t>
  </si>
  <si>
    <t>TC-15 PASS</t>
  </si>
  <si>
    <t>G: Rule 8, §10 · S: FR-IC-01</t>
  </si>
  <si>
    <t>FR-INV-014</t>
  </si>
  <si>
    <t>Each controlled item shall have exactly one current inventory state and one current location or site at any time.</t>
  </si>
  <si>
    <t>Each item carries one status and a location or site.</t>
  </si>
  <si>
    <t>A returned item keeps its site while in quarantine (DF-03).</t>
  </si>
  <si>
    <t>Clear the site when a return is received.</t>
  </si>
  <si>
    <t>G: §10, FR-14</t>
  </si>
  <si>
    <t>FR-INV-015</t>
  </si>
  <si>
    <t>The system shall show, for each item code and location: on hand, reserved, available, in quarantine and in transit.</t>
  </si>
  <si>
    <t>Stock screen shows on hand, reserved and available by bin; quarantine and scrap bins shown separately.</t>
  </si>
  <si>
    <t>No in-transit figure (transfers not built).</t>
  </si>
  <si>
    <t>Add in-transit with transfers.</t>
  </si>
  <si>
    <t>G: §11 · S: FR-IC-02</t>
  </si>
  <si>
    <t>FR-INV-016</t>
  </si>
  <si>
    <t>The system shall reconcile stock for any store and period as Opening + Receipts + Returns − Issues − Approved Adjustments = Closing (Section 13.2), and report any line that does not balance.</t>
  </si>
  <si>
    <t>StockMovement ledger written by every quantity change; report “Stock Reconciliation (RPT-04)” balances every store × article line (TC-29). Implemented 18-09-2026.</t>
  </si>
  <si>
    <t>TC-29</t>
  </si>
  <si>
    <t>TC-29 PASS</t>
  </si>
  <si>
    <t>FR-INV-017</t>
  </si>
  <si>
    <t>No transaction shall reduce stock at any location below zero.</t>
  </si>
  <si>
    <t>Stock is the sum of labels and a label cannot move twice, so negative stock cannot arise.</t>
  </si>
  <si>
    <t>S: BR-021</t>
  </si>
  <si>
    <t>FR-INV-018</t>
  </si>
  <si>
    <t>The system shall raise a re-order alert when available stock of an article falls below its re-order level.</t>
  </si>
  <si>
    <t>Articles below re-order level listed on the Stock screen.</t>
  </si>
  <si>
    <t>No alert is sent.</t>
  </si>
  <si>
    <t>Send NTF-14.</t>
  </si>
  <si>
    <t>WP-10</t>
  </si>
  <si>
    <t>G: §13 · S: FR-IC-04</t>
  </si>
  <si>
    <t>FR-INV-019</t>
  </si>
  <si>
    <t>Transfers, adjustments and physical verification</t>
  </si>
  <si>
    <t>Inter-store transfer shall be performed by scan with a despatch leg and a receipt leg; between the two the stock is shown as in transit.</t>
  </si>
  <si>
    <t>Transfers by scan: despatch leg → InTransit → receipt leg into the receiving store's Receiving area (FR-INV-019 check). Implemented 18-09-2026.</t>
  </si>
  <si>
    <t>G: §18 · S: FR-IS-12</t>
  </si>
  <si>
    <t>FR-INV-020</t>
  </si>
  <si>
    <t>A stock adjustment shall require a reason code and approval by a user other than the one who raised it. Original and adjusted values are retained.</t>
  </si>
  <si>
    <t>StockAdjustment with reason code, second-person approval (BR-026), original and adjusted quantities kept; ledger entry on approval (FR-INV-020 check). Implemented 18-09-2026.</t>
  </si>
  <si>
    <t>G: §10, Rule 9 · S: FR-IC-06</t>
  </si>
  <si>
    <t>FR-INV-021</t>
  </si>
  <si>
    <t>Physical verification shall be performed by scanning. The system shall produce a variance report against book stock; variances are cleared only through approved adjustments.</t>
  </si>
  <si>
    <t>PhysicalCount: scan-based count, frozen variance report, adjustments raised from variances; closing refused until they are decided (FR-INV-021 check). Implemented 18-09-2026.</t>
  </si>
  <si>
    <t>S: FR-IC-05</t>
  </si>
  <si>
    <t>FR-INV-022</t>
  </si>
  <si>
    <t>Issue to site</t>
  </si>
  <si>
    <t>Issue shall be possible only against an approved requisition. There is no direct issue function.</t>
  </si>
  <si>
    <t>7 Issue to Site</t>
  </si>
  <si>
    <t>Issue only against Approved / Partly Issued requisitions (TC-12).</t>
  </si>
  <si>
    <t>TC-12</t>
  </si>
  <si>
    <t>TC-12 PASS</t>
  </si>
  <si>
    <t>G: FR-07, Rule 3 · S: FR-IS-01, BR-006</t>
  </si>
  <si>
    <t>FR-INV-023</t>
  </si>
  <si>
    <t>The Store / Warehouse Officer shall issue by scanning each item. On every scan the system shall validate that the requisition is approved and not cancelled or exhausted, the item code is on the requisition, the item is available at the issuing store, and the approved quantity is not exceeded.</t>
  </si>
  <si>
    <t>Each scan checked against requisition, item, store and approved quantity (IssueService.ValidateAsync; TC-13).</t>
  </si>
  <si>
    <t>TC-13</t>
  </si>
  <si>
    <t>TC-13 PASS</t>
  </si>
  <si>
    <t>G: FR-06, FR-07 · S: FR-IS-02, FR-IS-03, BR-010</t>
  </si>
  <si>
    <t>FR-INV-024</t>
  </si>
  <si>
    <t>An item already issued, installed, reserved for another requisition, in quarantine or scrapped shall be refused at scan, with its current status and location shown.</t>
  </si>
  <si>
    <t>Issued, installed, reserved-elsewhere, quarantined and scrapped items refused with status shown (TC-14).</t>
  </si>
  <si>
    <t>TC-14</t>
  </si>
  <si>
    <t>TC-14 PASS</t>
  </si>
  <si>
    <t>G: §10, §16 · S: FR-IS-04, BR-011</t>
  </si>
  <si>
    <t>FR-INV-025</t>
  </si>
  <si>
    <t>The issue shall identify a registered, active Site ID. On posting, each item's location changes from the store bin to the site and its status to Issued to Site.</t>
  </si>
  <si>
    <t>Custody moves from bin to site on posting (TC-15).</t>
  </si>
  <si>
    <t>Site status is not re-checked at issue; material can go to an On-hold site (DF-05).</t>
  </si>
  <si>
    <t>Re-check site status at issue.</t>
  </si>
  <si>
    <t>G: Rule 4, Rule 10 · S: FR-IS-06, BR-012</t>
  </si>
  <si>
    <t>FR-INV-026</t>
  </si>
  <si>
    <t>Posting shall generate a sequential Issue Note and Gate Pass recording requisition, site, items, quantity, issuing store, user, date and time, the person collecting and the vehicle.</t>
  </si>
  <si>
    <t>Issue Note and Gate Pass numbered; collector and vehicle recorded (TC-15).</t>
  </si>
  <si>
    <t>G: §8 · S: FR-IS-07, FR-IS-08</t>
  </si>
  <si>
    <t>FR-INV-027</t>
  </si>
  <si>
    <t>Partial issue shall be supported. The requisition shows approved, issued and balance quantity per line and becomes Issued when every line is satisfied; any unused reservation on a satisfied line is released.</t>
  </si>
  <si>
    <t>Part issue supported; surplus reservations released when a line is satisfied.</t>
  </si>
  <si>
    <t>FR-INV-028</t>
  </si>
  <si>
    <t>The Lighting Officer shall acknowledge receipt of issued material on the mobile app, recording the time and device location. Issues not acknowledged within the configured period are flagged.</t>
  </si>
  <si>
    <t>Officer acknowledges with device location; unacknowledged issues listed on the dashboard.</t>
  </si>
  <si>
    <t>G: §13 · S: FR-IS-09, FR-IS-10</t>
  </si>
  <si>
    <t>FR-INV-029</t>
  </si>
  <si>
    <t>Unused issued material shall be returnable to a Stock location by scan, restoring it to available status.</t>
  </si>
  <si>
    <t>Unused material returned by scan to a Stock bin.</t>
  </si>
  <si>
    <t>S: FR-IS-11</t>
  </si>
  <si>
    <t>FR-INV-030</t>
  </si>
  <si>
    <t>Out-of-order returns and repair</t>
  </si>
  <si>
    <t>The Lighting Officer shall report an installed item as out of order or dismantled by scanning it and selecting a reason and condition, with photographs where the configuration requires them.</t>
  </si>
  <si>
    <t>10 Return / Repair</t>
  </si>
  <si>
    <t>Officer reports out-of-order or dismantled with a reason.</t>
  </si>
  <si>
    <t>Condition not captured separately; no photographs (Evidence link never set).</t>
  </si>
  <si>
    <t>Add condition and optional live photographs.</t>
  </si>
  <si>
    <t>WP-06</t>
  </si>
  <si>
    <t>TC-23</t>
  </si>
  <si>
    <t>TC-23 PASS</t>
  </si>
  <si>
    <t>G: FR-13, §8, Rule 7 · S: FR-RT-01</t>
  </si>
  <si>
    <t>FR-INV-031</t>
  </si>
  <si>
    <t>The Store / Warehouse Officer shall receive a returned item by scanning its QR. The system shall display its full history and place it in a Quarantine or Repair location — never directly into issuable stock.</t>
  </si>
  <si>
    <t>Returned item scanned into the Quarantine bin (TC-23).</t>
  </si>
  <si>
    <t>The receipt screen does not display the item's history.</t>
  </si>
  <si>
    <t>Show the item history on receipt.</t>
  </si>
  <si>
    <t>G: FR-13, Rule 7 · S: FR-RT-02, FR-RT-03, BR-018</t>
  </si>
  <si>
    <t>FR-INV-032</t>
  </si>
  <si>
    <t>After inspection the officer shall classify the returned item as Usable, Repairable or Not repairable, with a reason.</t>
  </si>
  <si>
    <t>Classification Repairable, Warranty or Scrap.</t>
  </si>
  <si>
    <t>No Usable classification (TC-24).</t>
  </si>
  <si>
    <t>Add Usable.</t>
  </si>
  <si>
    <t>TC-24</t>
  </si>
  <si>
    <t>TC-24 PASS</t>
  </si>
  <si>
    <t>G: FR-13 · S: FR-RT-05</t>
  </si>
  <si>
    <t>FR-INV-033</t>
  </si>
  <si>
    <t>A Usable item shall be moved by scan to a Stock location and become available again.</t>
  </si>
  <si>
    <t>ReturnService Usable route: scan to a stock bin, item Received and available again (TC-24). Implemented 18-09-2026.</t>
  </si>
  <si>
    <t>FR-INV-034</t>
  </si>
  <si>
    <t>Warranty eligibility shall be computed by the system from the installation date and the warranty period carried on the item code, and shown at receipt of the return.</t>
  </si>
  <si>
    <t>Warranty eligibility computed from installation date and PO warranty (TC-25).</t>
  </si>
  <si>
    <t>TC-25</t>
  </si>
  <si>
    <t>TC-25 PASS</t>
  </si>
  <si>
    <t>S: FR-RT-04, BR-019</t>
  </si>
  <si>
    <t>FR-INV-035</t>
  </si>
  <si>
    <t>A Repairable item shall be sent for repair or, where within warranty, for a vendor warranty claim; the claim reference and outcome are recorded.</t>
  </si>
  <si>
    <t>Repair or warranty claim with claim reference; outcome recorded as remarks on re-inward.</t>
  </si>
  <si>
    <t>S: FR-RT-06</t>
  </si>
  <si>
    <t>FR-INV-036</t>
  </si>
  <si>
    <t>A repaired or replaced item shall be re-inwarded to a Stock location on the same QR identifier, keeping its full history, and may then be issued again.</t>
  </si>
  <si>
    <t>Re-inward on the same QR to a Stock bin (TC-25).</t>
  </si>
  <si>
    <t>The item view no longer links its earlier installation and return after re-inward.</t>
  </si>
  <si>
    <t>Keep the history of installations and returns on the item view.</t>
  </si>
  <si>
    <t>WP-11</t>
  </si>
  <si>
    <t>G: §10 · S: FR-RT-07</t>
  </si>
  <si>
    <t>FR-INV-037</t>
  </si>
  <si>
    <t>A Not-repairable item shall move to a Scrap location. It may be written out of stock only after disposal approval, which records the approver, date and scrap value.</t>
  </si>
  <si>
    <t>Scrap bin, disposal approval with approver, date and value (TC-26).</t>
  </si>
  <si>
    <t>TC-26</t>
  </si>
  <si>
    <t>TC-26 PASS</t>
  </si>
  <si>
    <t>G: Rule 9 · S: FR-RT-08, FR-RT-09, BR-020</t>
  </si>
  <si>
    <t>FR-INV-038</t>
  </si>
  <si>
    <t>Items reported out of order at site but not received at a store within the configured period shall be flagged and escalated.</t>
  </si>
  <si>
    <t>Overdue returns listed on the dashboard and Returns screen.</t>
  </si>
  <si>
    <t>No escalation.</t>
  </si>
  <si>
    <t>Escalate through NTF-12.</t>
  </si>
  <si>
    <t>G: §13 · S: FR-RT-10, BR-029</t>
  </si>
  <si>
    <t>FR-INV-039</t>
  </si>
  <si>
    <t>When a failed item is replaced, the replacement installation shall record the item it replaces, preserving the site's installation history.</t>
  </si>
  <si>
    <t>The API records which item a new installation replaces.</t>
  </si>
  <si>
    <t>The portal offers no field for it.</t>
  </si>
  <si>
    <t>Add the replaced-item field to installation capture.</t>
  </si>
  <si>
    <t>S: FR-RT-12</t>
  </si>
  <si>
    <t>FR-REQ-001</t>
  </si>
  <si>
    <t>Requisition</t>
  </si>
  <si>
    <t>The Lighting Supervisor shall create a requisition by selecting a registered Site ID from the site master, the issuing store, item codes and quantities, required date, priority and justification / purpose.</t>
  </si>
  <si>
    <t>Site, store, items, quantity, required date and purpose captured.</t>
  </si>
  <si>
    <t>No priority field; justification is optional.</t>
  </si>
  <si>
    <t>Add priority; require justification for Urgent / Emergency.</t>
  </si>
  <si>
    <t>WP-04</t>
  </si>
  <si>
    <t>G: FR-04, §8 · S: FR-RQ-01, FR-RQ-03</t>
  </si>
  <si>
    <t>FR-REQ-002</t>
  </si>
  <si>
    <t>Only sites within the supervisor's authorised scope and in Active or Planned status shall be selectable. Free-text site entry shall not be accepted.</t>
  </si>
  <si>
    <t>Only registered, in-scope, assigned, Active or Planned sites accepted (TC-07).</t>
  </si>
  <si>
    <t>TC-07</t>
  </si>
  <si>
    <t>TC-07 PASS</t>
  </si>
  <si>
    <t>G: Rule 4, Rule 10, §4 · S: FR-RQ-02, FR-RQ-04, BR-007, BR-008</t>
  </si>
  <si>
    <t>FR-REQ-003</t>
  </si>
  <si>
    <t>While the requisition is entered and again on submission, the system shall show available stock at the issuing store for each line and highlight shortfalls.</t>
  </si>
  <si>
    <t>Available stock shown per line while entering and on submission.</t>
  </si>
  <si>
    <t>S: FR-RQ-05</t>
  </si>
  <si>
    <t>FR-REQ-004</t>
  </si>
  <si>
    <t>A requisition may be saved as a draft and edited until submitted. After submission it is read-only to the requester.</t>
  </si>
  <si>
    <t>Drafts can be saved and submitted later.</t>
  </si>
  <si>
    <t>A draft cannot be edited (no update endpoint).</t>
  </si>
  <si>
    <t>Add draft editing.</t>
  </si>
  <si>
    <t>FR-REQ-005</t>
  </si>
  <si>
    <t>On submission the system shall assign a sequential requisition number, set status Submitted, route it to the Approving Officer determined by the approval matrix and notify them.</t>
  </si>
  <si>
    <t>Numbered and set to Submitted.</t>
  </si>
  <si>
    <t>Not routed by an approval matrix; approver not notified.</t>
  </si>
  <si>
    <t>Route by approval matrix; notify (NTF-01).</t>
  </si>
  <si>
    <t>TC-08</t>
  </si>
  <si>
    <t>TC-08 PASS</t>
  </si>
  <si>
    <t>G: FR-05 · S: FR-RQ-07</t>
  </si>
  <si>
    <t>FR-REQ-006</t>
  </si>
  <si>
    <t>For lines that exceed available stock the system shall record a purchase indent for Procurement / Admin.</t>
  </si>
  <si>
    <t>Shortfall recorded as an indent and listed in the Indents report (TC-08).</t>
  </si>
  <si>
    <t>S: FR-RQ-06</t>
  </si>
  <si>
    <t>FR-REQ-007</t>
  </si>
  <si>
    <t>The requester may cancel a requisition that has not been issued; any reservation is released.</t>
  </si>
  <si>
    <t>Cancellation releases reservations.</t>
  </si>
  <si>
    <t>Cancel ignores data scope (DF-06).</t>
  </si>
  <si>
    <t>Apply store / site scope on cancel.</t>
  </si>
  <si>
    <t>G: FR-07 · S: FR-RQ-14</t>
  </si>
  <si>
    <t>FR-REQ-008</t>
  </si>
  <si>
    <t>The requester shall see the status of each requisition and, per line, the requested, approved, issued and balance quantities.</t>
  </si>
  <si>
    <t>Requested, approved, issued and balance shown per line.</t>
  </si>
  <si>
    <t>FR-REQ-009</t>
  </si>
  <si>
    <t>Approval</t>
  </si>
  <si>
    <t>The Approving Officer shall approve in full, approve in part with revised quantities, or reject. A rejection requires a reason.</t>
  </si>
  <si>
    <t>6 Approval</t>
  </si>
  <si>
    <t>Approve in full or part, or reject with reason (TC-10, TC-11).</t>
  </si>
  <si>
    <t>TC-10, TC-11</t>
  </si>
  <si>
    <t>TC-10 PASS; TC-11 PASS</t>
  </si>
  <si>
    <t>G: FR-05 · S: FR-RQ-08</t>
  </si>
  <si>
    <t>FR-REQ-010</t>
  </si>
  <si>
    <t>Approval shall respect delegated authority by requisition value and scope. A requisition above the officer's limit shall escalate to the next level in the approval matrix.</t>
  </si>
  <si>
    <t>Approval matrix in Parameters (value limits per level); an approver below the required level recommends and the requisition escalates (FR-REQ-010 check). Implemented 18-09-2026.</t>
  </si>
  <si>
    <t>G: §4 · S: FR-SE-04, BR-026</t>
  </si>
  <si>
    <t>FR-REQ-011</t>
  </si>
  <si>
    <t>No user shall approve a requisition they raised.</t>
  </si>
  <si>
    <t>Self-approval refused (TC-09).</t>
  </si>
  <si>
    <t>TC-09</t>
  </si>
  <si>
    <t>TC-09 PASS</t>
  </si>
  <si>
    <t>G: Rule 9 · S: BR-026</t>
  </si>
  <si>
    <t>FR-REQ-012</t>
  </si>
  <si>
    <t>On approval the system shall reserve the approved quantity against the requisition so it cannot be issued elsewhere, and generate a numbered Issue Slip.</t>
  </si>
  <si>
    <t>Approved quantity reserved; Issue Slip numbered (TC-10).</t>
  </si>
  <si>
    <t>TC-10</t>
  </si>
  <si>
    <t>TC-10 PASS</t>
  </si>
  <si>
    <t>S: FR-RQ-10, FR-RQ-11, BR-009</t>
  </si>
  <si>
    <t>FR-REQ-013</t>
  </si>
  <si>
    <t>A rejected requisition shall return to the requester with the reason. It may be revised and resubmitted; the history of every version is retained.</t>
  </si>
  <si>
    <t>A rejected requisition returns to the requester with the reason.</t>
  </si>
  <si>
    <t>No revise-and-resubmit version; a new requisition must be raised.</t>
  </si>
  <si>
    <t>Allow a rejected requisition to be revised as a new version.</t>
  </si>
  <si>
    <t>TC-11</t>
  </si>
  <si>
    <t>TC-11 PASS</t>
  </si>
  <si>
    <t>G: FR-05 · S: FR-RQ-09</t>
  </si>
  <si>
    <t>FR-REQ-014</t>
  </si>
  <si>
    <t>Reservations not issued within the configured validity shall be released automatically and the requester notified.</t>
  </si>
  <si>
    <t>AutomationService releases reservations after the validity, marks the requisition Lapsed and notifies (NTF-04) (FR-REQ-014 check). Implemented 18-09-2026.</t>
  </si>
  <si>
    <t>S: FR-RQ-13</t>
  </si>
  <si>
    <t>FR-FLD-001</t>
  </si>
  <si>
    <t>Installation transaction</t>
  </si>
  <si>
    <t>The Lighting Officer shall see on the mobile app the items issued to the sites assigned to them, grouped by site and issue.</t>
  </si>
  <si>
    <t>8 Installation</t>
  </si>
  <si>
    <t>Field work list of items issued to the officer's sites.</t>
  </si>
  <si>
    <t>G: §4 · S: FR-IN-01</t>
  </si>
  <si>
    <t>FR-FLD-002</t>
  </si>
  <si>
    <t>The officer shall scan the item's QR at the installation point. The system shall confirm that the item was issued to that site and is not already installed.</t>
  </si>
  <si>
    <t>Server confirms the item was issued to that site and is not installed.</t>
  </si>
  <si>
    <t>The web form takes a typed or selected QR; no camera QR scanning.</t>
  </si>
  <si>
    <t>Camera QR scanning in the field app.</t>
  </si>
  <si>
    <t>WP-07</t>
  </si>
  <si>
    <t>G: FR-08, §18 · S: FR-IN-05</t>
  </si>
  <si>
    <t>FR-FLD-003</t>
  </si>
  <si>
    <t>The installation transaction shall record issue number, site, item / QR, installed quantity, pole or point identifier, officer, installation date and time, before photograph, after photograph, coordinates and validation status.</t>
  </si>
  <si>
    <t>Issue, site, item, pole, officer, time, photos, coordinates and status recorded.</t>
  </si>
  <si>
    <t>No installed-quantity field (bulk items).</t>
  </si>
  <si>
    <t>Add installed quantity.</t>
  </si>
  <si>
    <t>TC-18</t>
  </si>
  <si>
    <t>TC-18 PASS*</t>
  </si>
  <si>
    <t>G: FR-08, §8 · S: FR-IN-11</t>
  </si>
  <si>
    <t>FR-FLD-004</t>
  </si>
  <si>
    <t>An installation shall be submittable only when both photographs exist. If a photograph is missing or fails its integrity check after synchronisation, the installation takes evidence status Missing Evidence and is not completed.</t>
  </si>
  <si>
    <t>Submission refused without both photographs (TC-16).</t>
  </si>
  <si>
    <t>No Missing Evidence status for a photo lost or corrupted after sync.</t>
  </si>
  <si>
    <t>Add Missing Evidence on integrity failure.</t>
  </si>
  <si>
    <t>WP-05</t>
  </si>
  <si>
    <t>TC-16</t>
  </si>
  <si>
    <t>TC-16 PASS</t>
  </si>
  <si>
    <t>G: FR-09, Rule 5 · S: BR-013</t>
  </si>
  <si>
    <t>FR-FLD-005</t>
  </si>
  <si>
    <t>Evidence capture</t>
  </si>
  <si>
    <t>A BEFORE photograph shall be captured through the app's camera before installation is recorded.</t>
  </si>
  <si>
    <t>9 Evidence &amp; GPS Validation</t>
  </si>
  <si>
    <t>BEFORE photograph captured with coordinates and time.</t>
  </si>
  <si>
    <t>G: FR-09, Rule 5 · S: FR-IN-02</t>
  </si>
  <si>
    <t>FR-FLD-006</t>
  </si>
  <si>
    <t>An AFTER photograph shall be captured after installation.</t>
  </si>
  <si>
    <t>AFTER photograph captured with coordinates and time.</t>
  </si>
  <si>
    <t>G: FR-09, Rule 5 · S: FR-IN-06</t>
  </si>
  <si>
    <t>FR-FLD-007</t>
  </si>
  <si>
    <t>Photographs shall be captured live through the app. Selecting from the gallery or uploading an existing file shall not be possible.</t>
  </si>
  <si>
    <t>SLIMS Field Android app: in-app live camera only, no gallery; the API accepts evidence only from the user's bound phone; browser upload refused (TC-17). Implemented 18-09-2026.</t>
  </si>
  <si>
    <t>TC-17</t>
  </si>
  <si>
    <t>TC-17 PASS</t>
  </si>
  <si>
    <t>G: §9 · S: FR-IN-03, BR-015</t>
  </si>
  <si>
    <t>FR-FLD-008</t>
  </si>
  <si>
    <t>For each photograph the app shall record device latitude, longitude, accuracy and timestamp at the moment of capture. These values shall not be enterable or editable by the user.</t>
  </si>
  <si>
    <t>The page reads device GPS at capture; the officer cannot edit it on screen.</t>
  </si>
  <si>
    <t>The API trusts coordinates sent by the client.</t>
  </si>
  <si>
    <t>Capture and sign location in the native app.</t>
  </si>
  <si>
    <t>G: FR-10 · S: FR-IN-04, BR-016</t>
  </si>
  <si>
    <t>FR-FLD-009</t>
  </si>
  <si>
    <t>The system shall preserve the original photograph unaltered and generate a controlled stamped copy that overlays date and time, coordinates, accuracy, Site ID, item code and officer (Section 12.4).</t>
  </si>
  <si>
    <t>Original bytes stored with SHA-256; stamped copy generated on the server (SkiaSharp); hash mismatch → Missing Evidence + re-capture (FR-FLD-009 check). Implemented 18-09-2026.</t>
  </si>
  <si>
    <t>WP-08</t>
  </si>
  <si>
    <t>G: §9 · S: FR-IN-04</t>
  </si>
  <si>
    <t>FR-FLD-010</t>
  </si>
  <si>
    <t>The app shall show the current GPS accuracy and the distance to the site point, warn when accuracy is poorer than the configured minimum, and refuse capture beyond three times that minimum.</t>
  </si>
  <si>
    <t>Accuracy and distance shown; accuracy worse than 3× the minimum refused by the server.</t>
  </si>
  <si>
    <t>S: §13.1</t>
  </si>
  <si>
    <t>FR-FLD-011</t>
  </si>
  <si>
    <t>The system shall refuse evidence from a device reporting a mock location provider or a clock drift beyond the configured limit, and log the attempt.</t>
  </si>
  <si>
    <t>Accuracy limit enforced.</t>
  </si>
  <si>
    <t>Clock check allows 65 minutes (DF-02); mock-location providers cannot be detected in a browser.</t>
  </si>
  <si>
    <t>Fix DF-02; detect mock location in the native app.</t>
  </si>
  <si>
    <t>S: FR-IN-13</t>
  </si>
  <si>
    <t>FR-FLD-012</t>
  </si>
  <si>
    <t>Offline working and integrity</t>
  </si>
  <si>
    <t>Capture and scanning shall work without connectivity. Transactions queue on the device with their original capture time and coordinates and synchronise automatically when connectivity returns; the synchronisation time is recorded separately.</t>
  </si>
  <si>
    <t>App queues captures in IndexedDB with original capture time and fix; synchronises on reconnect, resume and every minute; sync time recorded separately (TC-22). Implemented 18-09-2026.</t>
  </si>
  <si>
    <t>TC-22</t>
  </si>
  <si>
    <t>TC-22 PASS</t>
  </si>
  <si>
    <t>G: §14 · S: FR-IN-14, BR-027</t>
  </si>
  <si>
    <t>FR-FLD-013</t>
  </si>
  <si>
    <t>Every field submission shall carry a client transaction ID, so that a retried or repeated synchronisation cannot create a second installation.</t>
  </si>
  <si>
    <t>Every submission carries a client transaction ID (unique index); a repeated synchronisation returns the first installation (TC-22). Implemented 18-09-2026.</t>
  </si>
  <si>
    <t>G: §14</t>
  </si>
  <si>
    <t>FR-FLD-014</t>
  </si>
  <si>
    <t>Submitted photographs, coordinates and completed installation records shall not be editable. Corrections use the authorised amendment mechanism in Section 5.5.</t>
  </si>
  <si>
    <t>No edit or delete exists for installations or evidence.</t>
  </si>
  <si>
    <t>G: §12 · S: FR-IN-12</t>
  </si>
  <si>
    <t>FR-EXC-001</t>
  </si>
  <si>
    <t>Validation</t>
  </si>
  <si>
    <t>On receipt of an installation the system shall calculate the distance from the site coordinates to the coordinates of each photograph and compare the larger with the site geofence plus tolerance (Section 12.2).</t>
  </si>
  <si>
    <t>Distance to the site computed and compared with geofence + tolerance.</t>
  </si>
  <si>
    <t>Only the AFTER photograph is measured.</t>
  </si>
  <si>
    <t>Measure both photographs and use the larger distance.</t>
  </si>
  <si>
    <t>G: FR-11, §9 · S: FR-IN-07</t>
  </si>
  <si>
    <t>FR-EXC-002</t>
  </si>
  <si>
    <t>The system shall assign an evidence status of Valid, Location Exception or Missing Evidence, and place every non-Valid installation in Pending Review (Section 12.3).</t>
  </si>
  <si>
    <t>Statuses Confirmed / PendingVerification / ApprovedException / Rejected (TC-18, 19).</t>
  </si>
  <si>
    <t>Not the FRD set Valid / Location Exception / Missing Evidence + review status.</t>
  </si>
  <si>
    <t>Adopt the FRD status model.</t>
  </si>
  <si>
    <t>TC-18, TC-19</t>
  </si>
  <si>
    <t>TC-18 PASS*; TC-19 PASS*</t>
  </si>
  <si>
    <t>G: §9</t>
  </si>
  <si>
    <t>FR-EXC-003</t>
  </si>
  <si>
    <t>A GPS mismatch shall never mark an installation complete. It creates an exception requiring authorised review.</t>
  </si>
  <si>
    <t>A mismatch holds the installation for review, never complete (TC-19).</t>
  </si>
  <si>
    <t>TC-19</t>
  </si>
  <si>
    <t>TC-19 PASS*</t>
  </si>
  <si>
    <t>G: §9, Rule 6 · S: FR-IN-09, BR-017</t>
  </si>
  <si>
    <t>FR-EXC-004</t>
  </si>
  <si>
    <t>The exception queue shall hold GPS mismatch, missing evidence, duplicate or invalid QR scans, quantity variance, stock variance, damaged or out-of-order items and overdue returns or acknowledgements.</t>
  </si>
  <si>
    <t>The exception queue holds GPS mismatches.</t>
  </si>
  <si>
    <t>Missing evidence, invalid scans, variances and overdue items are not in the queue.</t>
  </si>
  <si>
    <t>Unify exception types in one queue.</t>
  </si>
  <si>
    <t>G: FR-12, §18</t>
  </si>
  <si>
    <t>FR-EXC-005</t>
  </si>
  <si>
    <t>Review and resolution</t>
  </si>
  <si>
    <t>The Project / Monitoring Officer shall see an exception queue limited to their scope, filterable by type, site, officer, age and status, showing the measured deviation, the site point and both photographs side by side.</t>
  </si>
  <si>
    <t>Pending list with deviation and both photographs side by side.</t>
  </si>
  <si>
    <t>No filters by type, age or officer; any role with verify permission can review.</t>
  </si>
  <si>
    <t>Add filters; restrict review to the Project / Monitoring Officer.</t>
  </si>
  <si>
    <t>G: §4, FR-12</t>
  </si>
  <si>
    <t>FR-EXC-006</t>
  </si>
  <si>
    <t>The reviewer shall resolve an exception as Approved (with a written justification of at least the configured length), Re-capture Required (the task returns to the officer) or Rejected (the installation is void and the item remains at site for action).</t>
  </si>
  <si>
    <t>Approve with ≥ 10-character justification; reject returns the item for re-capture (TC-20, 21).</t>
  </si>
  <si>
    <t>No separate Rejected (void) outcome.</t>
  </si>
  <si>
    <t>Split Re-capture Required and Rejected.</t>
  </si>
  <si>
    <t>TC-20</t>
  </si>
  <si>
    <t>TC-20 PASS*</t>
  </si>
  <si>
    <t>G: Rule 9 · S: FR-IN-10</t>
  </si>
  <si>
    <t>FR-EXC-007</t>
  </si>
  <si>
    <t>The reviewer may request field verification by the Lighting Supervisor; the supervisor's findings and photographs are recorded on the exception.</t>
  </si>
  <si>
    <t>Reviewer requests field verification; the supervisor records findings and live photographs from the app (NTF-10) (FR-EXC-007 check). Implemented 18-09-2026.</t>
  </si>
  <si>
    <t>S: FR-IN-10</t>
  </si>
  <si>
    <t>FR-EXC-008</t>
  </si>
  <si>
    <t>No user shall resolve an exception on a transaction they created.</t>
  </si>
  <si>
    <t>A reviewer cannot resolve their own installation (TC-20).</t>
  </si>
  <si>
    <t>FR-EXC-009</t>
  </si>
  <si>
    <t>When an exception is approved the installation is marked complete and the item status becomes Installed. The justification is stored permanently and appears in the exception report.</t>
  </si>
  <si>
    <t>Approved exception completes the installation; justification stored (TC-21).</t>
  </si>
  <si>
    <t>TC-21</t>
  </si>
  <si>
    <t>TC-21 PASS*</t>
  </si>
  <si>
    <t>G: Rule 9 · S: BR-017</t>
  </si>
  <si>
    <t>FR-EXC-010</t>
  </si>
  <si>
    <t>Unresolved exceptions shall age and escalate according to the notification rules.</t>
  </si>
  <si>
    <t>Exceptions age; escalation levels after the configured days with notices to the next level (FR-EXC-010 check). Implemented 18-09-2026.</t>
  </si>
  <si>
    <t>G: §13</t>
  </si>
  <si>
    <t>FR-EXC-011</t>
  </si>
  <si>
    <t>Corrections to completed records shall be made through an amendment request with reason, approval and before / after values. The original record remains visible.</t>
  </si>
  <si>
    <t>AmendmentRequest with reason, approval by another user, before/after in the audit trail; photographs, coordinates and quantities excluded (FR-EXC-011 check). Implemented 18-09-2026.</t>
  </si>
  <si>
    <t>G: §12 · S: BR-022</t>
  </si>
  <si>
    <t>FR-RPT-001</t>
  </si>
  <si>
    <t>Reports and dashboards</t>
  </si>
  <si>
    <t>All reports shall be generated from transaction data without manual compilation.</t>
  </si>
  <si>
    <t>Every report is computed from transactions (ReportService).</t>
  </si>
  <si>
    <t>G: FR-15 · S: FR-RP-01</t>
  </si>
  <si>
    <t>FR-RPT-002</t>
  </si>
  <si>
    <t>The report catalogue shall include at least the reports in Section 15.1.</t>
  </si>
  <si>
    <t>Fifteen reports plus stock, trace and audit screens.</t>
  </si>
  <si>
    <t>Catalogue only partly covered — see the Reports sheet.</t>
  </si>
  <si>
    <t>Build the missing reports.</t>
  </si>
  <si>
    <t>G: FR-15 · S: FR-RP-02</t>
  </si>
  <si>
    <t>FR-RPT-003</t>
  </si>
  <si>
    <t>Reports shall filter by PO, item code, category, store, location, site, administrative area, requisition, officer, date range, status and exception type.</t>
  </si>
  <si>
    <t>Date, zone, store and site filters (PO on one report).</t>
  </si>
  <si>
    <t>No item-code, category, officer, status or exception-type filters.</t>
  </si>
  <si>
    <t>Add the common filter set.</t>
  </si>
  <si>
    <t>G: §11 · S: FR-RP-02</t>
  </si>
  <si>
    <t>FR-RPT-004</t>
  </si>
  <si>
    <t>Dashboards shall show stock received, available stock, issued to site, installed, pending installation, GPS-validated installations, GPS exceptions, out-of-order returns, site-wise progress, item-wise consumption, PO utilisation and the transaction audit trail.</t>
  </si>
  <si>
    <t>Eight KPIs, 12-month trend, zone and category tables.</t>
  </si>
  <si>
    <t>No stock-received, PO-utilisation, GPS-validated-share or audit widgets.</t>
  </si>
  <si>
    <t>Add the missing widgets.</t>
  </si>
  <si>
    <t>G: §11 · S: FR-RP-04</t>
  </si>
  <si>
    <t>FR-RPT-005</t>
  </si>
  <si>
    <t>Drill-down shall follow Summary → Administrative area → Site → Requisition / Issue → Item → Evidence / validation record, within the viewer's scope.</t>
  </si>
  <si>
    <t>Drill-down Summary → zone → site → requisition / issue → item → evidence and validation record, scoped (FR-RPT-005 check). Implemented 18-09-2026.</t>
  </si>
  <si>
    <t>G: §11 · S: FR-RP-05</t>
  </si>
  <si>
    <t>FR-RPT-006</t>
  </si>
  <si>
    <t>Any QR or item code shall be traceable in a single view from PO → GRN → store location → requisition → issue → installation evidence → current status.</t>
  </si>
  <si>
    <t>API item view links PO, GRN, requisition, issue and evidence (TC-28).</t>
  </si>
  <si>
    <t>No QR search in the portal; photographs not shown; links cleared after re-inward.</t>
  </si>
  <si>
    <t>Add a trace screen with search and photographs.</t>
  </si>
  <si>
    <t>TC-28</t>
  </si>
  <si>
    <t>TC-28 PARTIAL</t>
  </si>
  <si>
    <t>G: §16, FR-14 · S: FR-IC-09</t>
  </si>
  <si>
    <t>FR-RPT-007</t>
  </si>
  <si>
    <t>Every report shall be exportable to Excel and PDF, with the applied filters recorded in the export.</t>
  </si>
  <si>
    <t>CSV export and print.</t>
  </si>
  <si>
    <t>No Excel or PDF export.</t>
  </si>
  <si>
    <t>Add Excel and PDF export with filters.</t>
  </si>
  <si>
    <t>S: FR-RP-03</t>
  </si>
  <si>
    <t>FR-RPT-008</t>
  </si>
  <si>
    <t>Report and dashboard content shall be limited to the viewer's scope.</t>
  </si>
  <si>
    <t>Reports filter to the viewer's sites and stores.</t>
  </si>
  <si>
    <t>Audit trail (DF-01), POs, articles, vendors and discrepancy notes are not scoped.</t>
  </si>
  <si>
    <t>Scope every list and report.</t>
  </si>
  <si>
    <t>G: §11, §12 · S: FR-SE-03</t>
  </si>
  <si>
    <t>FR-RPT-009</t>
  </si>
  <si>
    <t>Installations and pending sites shall be viewable on a map, filterable by zone, site and period.</t>
  </si>
  <si>
    <t>Map (Leaflet + OpenStreetMap) of sites and installations, filterable by zone, site and period (FR-RPT-009 check). Implemented 18-09-2026.</t>
  </si>
  <si>
    <t>S: FR-RP-06, FR-IN-16</t>
  </si>
  <si>
    <t>FR-RPT-010</t>
  </si>
  <si>
    <t>Reports may be scheduled for automatic delivery to nominated recipients.</t>
  </si>
  <si>
    <t>C</t>
  </si>
  <si>
    <t>Report schedules (daily / weekly / monthly) run in the owner's scope, stored as CSV, in-app notice and e-mail attachment (FR-RPT-010 check). Implemented 18-09-2026.</t>
  </si>
  <si>
    <t>S: FR-RP-07</t>
  </si>
  <si>
    <t>FR-NTF-001</t>
  </si>
  <si>
    <t>Notifications and alerts</t>
  </si>
  <si>
    <t>The system shall send the notifications listed in Section 14 to the recipients shown.</t>
  </si>
  <si>
    <t>NotificationService sends the Section 14 notices to the recipients shown (FR-NTF-001 check). Implemented 18-09-2026.</t>
  </si>
  <si>
    <t>G: §13 · S: FR-SE-08</t>
  </si>
  <si>
    <t>FR-NTF-002</t>
  </si>
  <si>
    <t>Notifications shall be delivered in-app and, where configured, by e-mail and SMS.</t>
  </si>
  <si>
    <t>In-app inbox; e-mail (SMTP) and SMS (HTTP gateway) copies where configured — verified end-to-end with test sinks (FR-NTF-002 check). Implemented 18-09-2026.</t>
  </si>
  <si>
    <t>G: §13 · S: INT-06</t>
  </si>
  <si>
    <t>FR-NTF-003</t>
  </si>
  <si>
    <t>Configurable alerts shall cover ageing and turnaround, stock thresholds, repeated GPS mismatches by officer or site, unusual return rates and unresolved site installations.</t>
  </si>
  <si>
    <t>Configurable alerts: re-order digest, repeated GPS mismatch, return rate, unresolved sites, turnaround, ageing (FR-NTF-003 check). Implemented 18-09-2026.</t>
  </si>
  <si>
    <t>FR-NTF-004</t>
  </si>
  <si>
    <t>An item not actioned within its configured period shall escalate to the next level.</t>
  </si>
  <si>
    <t>Work not actioned escalates to the next role in the escalation chain (FR-NTF-004 check). Implemented 18-09-2026.</t>
  </si>
  <si>
    <t>G: §13 · S: FR-SE-04</t>
  </si>
  <si>
    <t>FR-NTF-005</t>
  </si>
  <si>
    <t>Users shall not be able to switch off notifications of work assigned to them (approvals, exceptions, re-captures).</t>
  </si>
  <si>
    <t>Assigned-work notices cannot be muted; the preference is ignored for them (FR-NTF-005 check). Implemented 18-09-2026.</t>
  </si>
  <si>
    <t>FR-SEC-001</t>
  </si>
  <si>
    <t>Access and audit</t>
  </si>
  <si>
    <t>Each user shall authenticate individually with user ID or official e-mail and password. Shared accounts shall not be permitted.</t>
  </si>
  <si>
    <t>Individual sign-in; PBKDF2-SHA256 passwords; no shared accounts.</t>
  </si>
  <si>
    <t>G: §14 · S: FR-SE-01</t>
  </si>
  <si>
    <t>FR-SEC-002</t>
  </si>
  <si>
    <t>Access shall be role-based as set out in Section 16 and enforced at the service interface as well as the user interface.</t>
  </si>
  <si>
    <t>Permissions enforced at the API for every write.</t>
  </si>
  <si>
    <t>Roles differ from the FRD: no Approving Officer, Project / Monitoring Officer or Management role.</t>
  </si>
  <si>
    <t>Adopt the FRD role model.</t>
  </si>
  <si>
    <t>TC-27</t>
  </si>
  <si>
    <t>TC-27 PARTIAL</t>
  </si>
  <si>
    <t>G: §4, §12 · S: FR-SE-02</t>
  </si>
  <si>
    <t>FR-SEC-003</t>
  </si>
  <si>
    <t>Users shall only enter, view, approve or update transactions within their assigned organisational, store and site scope.</t>
  </si>
  <si>
    <t>Store and site scope enforced on transactions.</t>
  </si>
  <si>
    <t>Zone-level only; cancel ignores scope (DF-06); audit trail unscoped (DF-01); several lists unscoped.</t>
  </si>
  <si>
    <t>Fix DF-01 and DF-06; scope every endpoint.</t>
  </si>
  <si>
    <t>G: §4, §16 · S: FR-SE-03</t>
  </si>
  <si>
    <t>FR-SEC-004</t>
  </si>
  <si>
    <t>Password policy, lock-out after repeated failures, session time-out and forced change of administrator-issued passwords shall apply.</t>
  </si>
  <si>
    <t>Password policy, lock-out after 5 failures, forced change of issued passwords.</t>
  </si>
  <si>
    <t>No idle time-out; a session lasts up to 7 days through the refresh token.</t>
  </si>
  <si>
    <t>Add idle time-out and shorter refresh.</t>
  </si>
  <si>
    <t>G: §14 · S: NFR-12</t>
  </si>
  <si>
    <t>FR-SEC-005</t>
  </si>
  <si>
    <t>Every create, submit, approve, reject, issue, return, update and exception-review action shall record user, role, date and time, transaction ID, client address and before / after values.</t>
  </si>
  <si>
    <t>User, role, time and address on every row (TC-30).</t>
  </si>
  <si>
    <t>Before-values recorded only for master-data updates; refused attempts not audited (TC-27).</t>
  </si>
  <si>
    <t>Record before-values and refused attempts.</t>
  </si>
  <si>
    <t>TC-30</t>
  </si>
  <si>
    <t>TC-30 PARTIAL</t>
  </si>
  <si>
    <t>G: §12 · S: FR-SE-05</t>
  </si>
  <si>
    <t>FR-SEC-006</t>
  </si>
  <si>
    <t>The audit trail shall be append-only. No posted transaction may be deleted; corrections are made by reversal or amendment.</t>
  </si>
  <si>
    <t>No update or delete of audit rows or posted transactions in the application.</t>
  </si>
  <si>
    <t>G: §12 · S: FR-SE-06, BR-022</t>
  </si>
  <si>
    <t>FR-SEC-007</t>
  </si>
  <si>
    <t>The system shall reject a second posting of any transaction ID, so that double-clicks, retries and repeated synchronisation cannot duplicate a transaction.</t>
  </si>
  <si>
    <t>Double postings of a scanned item are refused by its status; buttons disable while posting.</t>
  </si>
  <si>
    <t>No transaction IDs; a requisition can be submitted twice.</t>
  </si>
  <si>
    <t>Transaction IDs on every posting.</t>
  </si>
  <si>
    <t>FR-SEC-008</t>
  </si>
  <si>
    <t>The System Administrator shall configure masters, roles, permissions, workflows and parameters. Every change is audited.</t>
  </si>
  <si>
    <t>Users, passwords, parameters and masters administered in the portal.</t>
  </si>
  <si>
    <t>Roles, permissions and approval matrix not configurable.</t>
  </si>
  <si>
    <t>Add role and approval-matrix administration.</t>
  </si>
  <si>
    <t>G: §4 · S: FR-SE-09</t>
  </si>
  <si>
    <t>FR-SEC-009</t>
  </si>
  <si>
    <t>A field device may be bound to a named user; a change of device requires re-authorisation.</t>
  </si>
  <si>
    <t>Phone bound to one user by a one-time setup code; setup test photo checks camera, GPS, mock location and clock; a replacement needs administrator approval (FR-SEC-009 check). Implemented 18-09-2026.</t>
  </si>
  <si>
    <t>S: FR-SE-07</t>
  </si>
  <si>
    <t>Acceptance tests — FRD Section 21 run against the live build</t>
  </si>
  <si>
    <t>Run 2026-09-18 14:12:13 · API http://172.16.10.184:3001 · tag 09181411</t>
  </si>
  <si>
    <t>TC</t>
  </si>
  <si>
    <t>Scenario</t>
  </si>
  <si>
    <t>Steps (FRD)</t>
  </si>
  <si>
    <t>Expected (FRD)</t>
  </si>
  <si>
    <t>Observed in the live run</t>
  </si>
  <si>
    <t>Result</t>
  </si>
  <si>
    <t>Note</t>
  </si>
  <si>
    <t>Rules</t>
  </si>
  <si>
    <t>Receive a PO-referenced article by QR into a bin</t>
  </si>
  <si>
    <t>Select store and PO; scan 5 labels; choose a Stock bin; post</t>
  </si>
  <si>
    <t>GRN numbered; items In Store at the bin; PO outstanding reduced by 5; ledger shows 5 receipts</t>
  </si>
  <si>
    <t>GRN GRN/CEN01/26-27/00006; 5 Received into CEN01-RCV-R0-B0, then put away by scan to CEN01-QA-R1411-B1; PO line received 5.0 of 10.0</t>
  </si>
  <si>
    <t>FR-INV-002, FR-INV-007, FR-INV-011</t>
  </si>
  <si>
    <t>BR-01, BR-08</t>
  </si>
  <si>
    <t>Receive without a PO</t>
  </si>
  <si>
    <t>Open receipt and scan without selecting a PO</t>
  </si>
  <si>
    <t>Refused — VAL-INV-001</t>
  </si>
  <si>
    <t>Posting with no PO: HTTP 404 · None · Purchase order not found</t>
  </si>
  <si>
    <t>Refused, but as “Purchase order not found” rather than a prompt to select a PO</t>
  </si>
  <si>
    <t>BR-01</t>
  </si>
  <si>
    <t>TC-03</t>
  </si>
  <si>
    <t>Scan a forged label</t>
  </si>
  <si>
    <t>Scan a payload with a wrong check value</t>
  </si>
  <si>
    <t>Refused — VAL-INV-003; attempt audited</t>
  </si>
  <si>
    <t>ok=False · step=BR-002 · Not a SLIMS label — the QR payload or its check value is invalid.</t>
  </si>
  <si>
    <t>FR-INV-002, FR-MDM-006</t>
  </si>
  <si>
    <t>BR-02</t>
  </si>
  <si>
    <t>TC-04</t>
  </si>
  <si>
    <t>Receive the same label twice</t>
  </si>
  <si>
    <t>Receive a label, then scan it on a new receipt</t>
  </si>
  <si>
    <t>Refused — VAL-INV-006</t>
  </si>
  <si>
    <t>ok=False · Already Received — a label can only be received once.</t>
  </si>
  <si>
    <t>BR-11</t>
  </si>
  <si>
    <t>Receive beyond PO balance</t>
  </si>
  <si>
    <t>Scan one more label than outstanding; then request and approve an over-receipt exception</t>
  </si>
  <si>
    <t>First refused — VAL-INV-007; after approval the item is received and the exception is linked to the GRN</t>
  </si>
  <si>
    <t>Scan beyond balance: Receipt would exceed the PO line quantity (5.000+1.000 &gt; 5.000).. No over-receipt exception function exists.</t>
  </si>
  <si>
    <t>The block holds; the approved-exception route is not built (outside the Not-met scope)</t>
  </si>
  <si>
    <t>BR-13, BR-09</t>
  </si>
  <si>
    <t>Stock not yet put away is not available</t>
  </si>
  <si>
    <t>Receive to Receiving; open a requisition for the article</t>
  </si>
  <si>
    <t>Receiving quantity is not shown as available</t>
  </si>
  <si>
    <t>Available for requisition: 5.0 (8 received: 5 put away, 3 still in Receiving CEN01-RCV-R0-B0). Approval: reserved</t>
  </si>
  <si>
    <t>BR-14</t>
  </si>
  <si>
    <t>Requisition for an unregistered or out-of-scope site</t>
  </si>
  <si>
    <t>Try to type a site name; try to select another supervisor's site</t>
  </si>
  <si>
    <t>No free-text field; out-of-scope site not selectable — VAL-REQ-002</t>
  </si>
  <si>
    <t>Site ID is an integer reference (no free text). Another supervisor's site: HTTP 409 · BR-008 · Site SITE-C-MALL-0001 is assigned to another supervisor.. Other zone: HTTP 403 · scope · Site SITE-CLAHO-0004 is outside your scope.</t>
  </si>
  <si>
    <t>BR-04, BR-18</t>
  </si>
  <si>
    <t>Submit a requisition with a shortfall</t>
  </si>
  <si>
    <t>Request more than available; submit</t>
  </si>
  <si>
    <t>Warning VAL-REQ-004; requisition Submitted; indent recorded; Approving Officer notified</t>
  </si>
  <si>
    <t>Status Submitted; shortfall 4911.0; indent recorded True; required level 2; NTF-01 delivered to 1 approver(s)</t>
  </si>
  <si>
    <t>FR-REQ-005, FR-REQ-006, FR-NTF-001</t>
  </si>
  <si>
    <t>Approve own requisition</t>
  </si>
  <si>
    <t>As a user with both rights, raise and approve</t>
  </si>
  <si>
    <t>Refused — VAL-REQ-005</t>
  </si>
  <si>
    <t>HTTP 409 · BR-026 · You cannot approve a requisition you raised yourself.</t>
  </si>
  <si>
    <t>BR-27</t>
  </si>
  <si>
    <t>Approve in part</t>
  </si>
  <si>
    <t>Approve 3 of 5 requested</t>
  </si>
  <si>
    <t>3 reserved; Issue Slip numbered; supervisor notified</t>
  </si>
  <si>
    <t>Status Approved; approved 3.0; 3 labels reserved; Issue Slip ISL/CEN01/26-27/00010; supervisor notified: yes (NTF-02)</t>
  </si>
  <si>
    <t>FR-REQ-009, FR-REQ-012</t>
  </si>
  <si>
    <t>BR-15</t>
  </si>
  <si>
    <t>Reject a requisition</t>
  </si>
  <si>
    <t>Reject without reason; then with reason</t>
  </si>
  <si>
    <t>First refused — VAL-REQ-006; then returned to supervisor with the reason</t>
  </si>
  <si>
    <t>Without reason: HTTP 400 · None · A reason is required to reject.. With reason: status Rejected; supervisor notified (NTF-03)</t>
  </si>
  <si>
    <t>FR-REQ-009, FR-REQ-013</t>
  </si>
  <si>
    <t>Issue before approval</t>
  </si>
  <si>
    <t>Try to issue against a Submitted requisition</t>
  </si>
  <si>
    <t>Refused — VAL-INV-020</t>
  </si>
  <si>
    <t>HTTP 409 · BR-006 · Requisition is Submitted; material can only be issued against an approved requisition.</t>
  </si>
  <si>
    <t>BR-03</t>
  </si>
  <si>
    <t>Issue above approved quantity</t>
  </si>
  <si>
    <t>Scan one more label than approved</t>
  </si>
  <si>
    <t>Refused — VAL-INV-022</t>
  </si>
  <si>
    <t>HTTP 409 · BR-010 · SLIMS|LUM-LED-090W-PO2611-001|000001|7999A2: Excess — 3.000 Nos approved, 3.000 already issued.</t>
  </si>
  <si>
    <t>BR-16</t>
  </si>
  <si>
    <t>Duplicate QR movement</t>
  </si>
  <si>
    <t>Scan a label already issued to another site</t>
  </si>
  <si>
    <t>Refused — VAL-INV-023 with its current site shown</t>
  </si>
  <si>
    <t>ok=False · step=BR-011 · Already issued to SITE-CLAHO-0004 (Issued).</t>
  </si>
  <si>
    <t>BR-17</t>
  </si>
  <si>
    <t>Post an issue</t>
  </si>
  <si>
    <t>Scan approved items; post</t>
  </si>
  <si>
    <t>Issue Note and Gate Pass numbered; items at the site; bins relieved; ledger updated</t>
  </si>
  <si>
    <t>Issue ISS/CEN01/26-27/00008, gate pass GP/CEN01/26-27/00008; 3 items Issued to the site, bins relieved; quantity ledger updated (reconciliation 8 lines); officer notified (NTF-05)</t>
  </si>
  <si>
    <t>FR-INV-025, FR-INV-026, FR-INV-013</t>
  </si>
  <si>
    <t>BR-08</t>
  </si>
  <si>
    <t>Installation without the AFTER photograph</t>
  </si>
  <si>
    <t>Capture BEFORE only; submit</t>
  </si>
  <si>
    <t>Not submittable — VAL-FLD-003</t>
  </si>
  <si>
    <t>HTTP 409 · BR-013 · The AFTER photograph is missing.</t>
  </si>
  <si>
    <t>FR-FLD-004, FR-FLD-006</t>
  </si>
  <si>
    <t>BR-05</t>
  </si>
  <si>
    <t>Gallery photograph</t>
  </si>
  <si>
    <t>Look for a gallery or upload option on the capture screen</t>
  </si>
  <si>
    <t>No such option exists</t>
  </si>
  <si>
    <t>Browser upload refused: HTTP 409 · FR-FLD-007 · Installation photographs are accepted only from the SLIMS Field app on your registered phone (live capture). Open Mobile setup to install it.. The field app captures in-app from the live camera only (no gallery picker exists); the API accepts evidence only from the bound phone</t>
  </si>
  <si>
    <t>BR-19</t>
  </si>
  <si>
    <t>Installation inside the geofence</t>
  </si>
  <si>
    <t>Capture both photographs at the site point</t>
  </si>
  <si>
    <t>Evidence Valid; installation Complete; item Installed; site report updated</t>
  </si>
  <si>
    <t>Status Confirmed at 14.6 m; item Installed</t>
  </si>
  <si>
    <t>Reported as “Confirmed”, not the FRD value “Valid”</t>
  </si>
  <si>
    <t>FR-EXC-001, FR-EXC-002, FR-FLD-003</t>
  </si>
  <si>
    <t>GPS mismatch</t>
  </si>
  <si>
    <t>Capture the AFTER photograph 3 km from the site</t>
  </si>
  <si>
    <t>Location Exception; Pending Review; not complete; Monitoring Officer notified</t>
  </si>
  <si>
    <t>Status PendingVerification at 3002.3 m; Monitoring Officer notified (NTF-08): yes</t>
  </si>
  <si>
    <t>Held for review as “PendingVerification” rather than “Location Exception”</t>
  </si>
  <si>
    <t>FR-EXC-003, FR-EXC-002</t>
  </si>
  <si>
    <t>BR-06</t>
  </si>
  <si>
    <t>Review with a short justification, and self-review</t>
  </si>
  <si>
    <t>Approve with “ok”; attempt review as the capturing officer</t>
  </si>
  <si>
    <t>Refused — VAL-EXC-001; refused — VAL-EXC-002</t>
  </si>
  <si>
    <t>Short justification: HTTP 409 · BR-017 · A written justification (at least 10 characters) is required to accept evidence outside the geo-fence.. Capturing officer: HTTP 403 · permission · Your role (Lighting Officer) has no "verify" permission.</t>
  </si>
  <si>
    <t>Self-review is stopped by the officer lacking review permission; the SoD rule itself is also in place</t>
  </si>
  <si>
    <t>FR-EXC-006, FR-EXC-008</t>
  </si>
  <si>
    <t>BR-09, BR-27</t>
  </si>
  <si>
    <t>Approve an exception</t>
  </si>
  <si>
    <t>Approve with a written justification</t>
  </si>
  <si>
    <t>Installation Complete; item Installed; justification in RPT-10</t>
  </si>
  <si>
    <t>Status ApprovedException; item Installed</t>
  </si>
  <si>
    <t>Reported as “ApprovedException”</t>
  </si>
  <si>
    <t>BR-09</t>
  </si>
  <si>
    <t>Offline capture and duplicate synchronisation</t>
  </si>
  <si>
    <t>Capture offline; reconnect; force a second sync of the same transaction</t>
  </si>
  <si>
    <t>One installation only; original capture times and coordinates kept; sync time recorded</t>
  </si>
  <si>
    <t>Queued 2 h ago, synchronised twice with transaction 9670e06a…: installation INST/SITE-CLAHO-0004/00004 both times, 1 record(s); capture time kept: True; synchronisation time recorded separately: True; status Confirmed</t>
  </si>
  <si>
    <t>FR-FLD-012, FR-FLD-013</t>
  </si>
  <si>
    <t>BR-29, BR-30</t>
  </si>
  <si>
    <t>Report and return an out-of-order item</t>
  </si>
  <si>
    <t>Report failure at site; receive at store</t>
  </si>
  <si>
    <t>Item in Quarantine; not available for issue</t>
  </si>
  <si>
    <t>Item Returned at CEN01-QTN-Q1-B1; store notified of the report (NTF-11): yes</t>
  </si>
  <si>
    <t>FR-INV-030, FR-INV-031</t>
  </si>
  <si>
    <t>BR-07, BR-22</t>
  </si>
  <si>
    <t>Classify a return as Usable</t>
  </si>
  <si>
    <t>Classify Usable and scan to a Stock bin</t>
  </si>
  <si>
    <t>Item In Store and available</t>
  </si>
  <si>
    <t>Classification Usable; item Received at CEN01-QA-R1411-B1, no site; counted in available stock (87.0 of the article available)</t>
  </si>
  <si>
    <t>FR-INV-032, FR-INV-033</t>
  </si>
  <si>
    <t>Warranty claim and re-inward</t>
  </si>
  <si>
    <t>Receive a failure within warranty; route to claim; re-inward</t>
  </si>
  <si>
    <t>Warranty computed Yes; claim recorded; same QR back in stock with full history</t>
  </si>
  <si>
    <t>Warranty eligible True; item Received on the same QR; history 10 entries</t>
  </si>
  <si>
    <t>FR-INV-034, FR-INV-035, FR-INV-036</t>
  </si>
  <si>
    <t>BR-23</t>
  </si>
  <si>
    <t>Scrap and disposal</t>
  </si>
  <si>
    <t>Try to dispose a Repairable item; classify Not repairable; approve disposal</t>
  </si>
  <si>
    <t>First refused — VAL-INV-033; after approval item Disposed and in RPT-13</t>
  </si>
  <si>
    <t>Before condemnation: HTTP 409 · BR-020 · Item is Returned; only condemned (scrap) items can be disposed.. After approval: Disposed</t>
  </si>
  <si>
    <t>BR-24</t>
  </si>
  <si>
    <t>Out-of-scope access</t>
  </si>
  <si>
    <t>As a Zone North user, open and edit a Zone South requisition</t>
  </si>
  <si>
    <t>Refused — VAL-SEC-001; attempt audited</t>
  </si>
  <si>
    <t>Open: HTTP 403 · scope · This requisition is outside your scope.. Cancel: HTTP 403 · None · Only the raiser or an approver can cancel.. Refused attempts audited: no</t>
  </si>
  <si>
    <t>Refused correctly; refused attempts are not written to the audit trail (outside the Not-met scope)</t>
  </si>
  <si>
    <t>FR-SEC-003, FR-SEC-002</t>
  </si>
  <si>
    <t>Trace an item</t>
  </si>
  <si>
    <t>Search an installed QR</t>
  </si>
  <si>
    <t>One view shows PO → GRN → bin → requisition → issue → evidence → status</t>
  </si>
  <si>
    <t>API item view: PO PO-2611, GRN 1, requisition 30, issue 8, evidence both photos, status Disposed</t>
  </si>
  <si>
    <t>The API holds the whole chain; see FR-RPT-005 for the drill-down path</t>
  </si>
  <si>
    <t>Stock reconciliation</t>
  </si>
  <si>
    <t>Run RPT-04 for a period with receipts, issues, returns and an adjustment</t>
  </si>
  <si>
    <t>Opening + Receipts + Returns − Issues − Adjustments = Closing for every line</t>
  </si>
  <si>
    <t>9 store/article lines, 9 balance, 0 do not. QA article at CEN01: {'Opening': '0', 'Receipts': '8.0', 'Returns': '0', 'Transfers in': '0', 'Issues': '0', 'Transfers out': '1.0', 'Disposals': '0', 'Adjustments': '0.0', 'Closing (ledger)': '7.0', 'On hand (item records)': '7.0', 'Difference': '0.0'}</t>
  </si>
  <si>
    <t>Audit completeness</t>
  </si>
  <si>
    <t>Perform one action of each type; open the audit trail</t>
  </si>
  <si>
    <t>Every action shows user, role, time, address and before / after values</t>
  </si>
  <si>
    <t>499 QA actions audited; 499 with user, role and address; before-values present on 14 of 160 changes</t>
  </si>
  <si>
    <t>Before-values are recorded for moves, adjustments, amendments and master data; not yet for every stock movement</t>
  </si>
  <si>
    <t>FR-SEC-005, FR-SEC-006</t>
  </si>
  <si>
    <t>BR-26</t>
  </si>
  <si>
    <t>Remediation checks — one per requirement closed on 18-09-2026, and the defect probes</t>
  </si>
  <si>
    <t>Check</t>
  </si>
  <si>
    <t>Requirement / defect</t>
  </si>
  <si>
    <t>Expected</t>
  </si>
  <si>
    <t>DF-01</t>
  </si>
  <si>
    <t>Defect fixed: audit trail scope</t>
  </si>
  <si>
    <t>Probe no longer reproduces the defect</t>
  </si>
  <si>
    <t>officer sees 64 rows, all their own</t>
  </si>
  <si>
    <t>DF-02</t>
  </si>
  <si>
    <t>Defect fixed: clock-drift limit</t>
  </si>
  <si>
    <t>phone 30 min off: HTTP 409 · FR-FLD-011 · The phone clock is 30 minutes off server time (limit 5). Switch on automatic date and time.</t>
  </si>
  <si>
    <t>DF-03</t>
  </si>
  <si>
    <t>Defect fixed: returned item keeps its site</t>
  </si>
  <si>
    <t>returned item carries no site in the store</t>
  </si>
  <si>
    <t>DF-04</t>
  </si>
  <si>
    <t>Defect fixed: PO line lock after article</t>
  </si>
  <si>
    <t>re-specifying the line: HTTP 409 · FR-MD-05 · Line 1 already has article LUM-LED-090W-POQA09181411-001; its category, specification, description and unit can no longer change. Only quantity and rate can.</t>
  </si>
  <si>
    <t>DF-05</t>
  </si>
  <si>
    <t>Defect fixed: issue to On-hold site</t>
  </si>
  <si>
    <t>issue to On-hold site: HTTP 409 · BR-007 · Site SITE-CLAHO-0004 is On hold; material cannot be issued to it.</t>
  </si>
  <si>
    <t>DF-06</t>
  </si>
  <si>
    <t>Defect fixed: cancel ignores scope</t>
  </si>
  <si>
    <t>out-of-scope cancel: HTTP 403 · scope · Site SITE-N-GTRD-0004 is outside your scope.</t>
  </si>
  <si>
    <t>Field verification by the Lighting Supervisor</t>
  </si>
  <si>
    <t>Reviewer requests; supervisor's findings and photographs recorded on the exception</t>
  </si>
  <si>
    <t>Request: 200; supervisor notified (NTF-10): yes; task on the supervisor's phone: yes; findings: QA: pole found installed, far end of the junction with 1 photograph(s)</t>
  </si>
  <si>
    <t>Unresolved exceptions age and escalate</t>
  </si>
  <si>
    <t>Escalation according to the notification rules</t>
  </si>
  <si>
    <t>After 4 days unresolved: age 4 d, escalation level 1, escalation notices 1</t>
  </si>
  <si>
    <t>Corrections through an amendment request</t>
  </si>
  <si>
    <t>Reason, approval by another user, before/after values; original stays visible</t>
  </si>
  <si>
    <t>Coordinates: HTTP 400 · None · installation.Lat cannot be amended.. Pole ID request AMD/26-27/00001; self-approval HTTP 409 · BR-026 · An amendment must be approved by somebody other than the person who asked for it.; approved by PD Office: pole QA-P7; audit before {"field":"PoleId","value":"QA-P1"} after {"field":"PoleId","value":"QA-P7","amendment":"AMD/26-27/00001"}</t>
  </si>
  <si>
    <t>Original preserved with hash; server-stamped copy</t>
  </si>
  <si>
    <t>Original photograph unaltered; stamped copy with time, coordinates, accuracy, site, item, officer</t>
  </si>
  <si>
    <t>Original downloaded byte-for-byte equal to its SHA-256 a6a61e337f6a…: True. Stamped copy: HTTP 200, 475 KB, valid JPEG True. Photograph altered in transit: MissingEvidence, officer told to re-capture (NTF-09)</t>
  </si>
  <si>
    <t>Mock location and clock drift refused and logged</t>
  </si>
  <si>
    <t>Evidence refused and the attempt logged</t>
  </si>
  <si>
    <t>Mock location: HTTP 409 · FR-FLD-011 · The phone reported a mock (fake) location. Remove any location-faking app and capture again.. Clock 30 min off: HTTP 409 · FR-FLD-011 · The phone clock is 30 minutes off server time (limit 5). Switch on automatic date and time.</t>
  </si>
  <si>
    <t>Condition and per-item rejection at receipt</t>
  </si>
  <si>
    <t>Condition recorded; rejected item with reason code and photograph does not enter stock</t>
  </si>
  <si>
    <t>GRN condition Packaging damaged, rejected 1; item Rejected, location None; discrepancy note DSC/26-27/00002 (Rejected at receipt (GRN/CEN01/26-27/00006): 1 × Physically damaged)</t>
  </si>
  <si>
    <t>FR-INV-010/012</t>
  </si>
  <si>
    <t>Receiving area, put-away and bin move by scan</t>
  </si>
  <si>
    <t>Receipts held in Receiving until put away; bin moves by scanning item and bin; ledger records both locations</t>
  </si>
  <si>
    <t>Moving back into Receiving: HTTP 409 · BR-005 · Material cannot be moved back into the Receiving area.. Bin move: CEN01-QA-R1411-B1 → CEN01-ACC-R05-B01; history {"location":"CEN01-ACC-R05-B01"}</t>
  </si>
  <si>
    <t>Inter-store transfer by scan with an in-transit leg</t>
  </si>
  <si>
    <t>Despatch and receipt legs; stock shown in transit between them</t>
  </si>
  <si>
    <t>Transfer STN/CEN01/26-27/00001: after despatch the item is InTransit (no bin); received at ZNN01 into ZNN01-RCV-R0-B0 (Received)</t>
  </si>
  <si>
    <t>Adjustment with reason code and second-person approval</t>
  </si>
  <si>
    <t>Reason code required; approved by another user; original and adjusted values retained</t>
  </si>
  <si>
    <t>No reason code: HTTP 400 · None · Choose a reason code.. Self-approval: HTTP 409 · BR-026 · An adjustment must be approved by someone other than the person who raised it.. While pending the item stays Received; approver notified (NTF-13). Approved by another: 1.0 → 0.0, item WrittenOff. Found adjustment: item Received again</t>
  </si>
  <si>
    <t>Physical verification by scan with variance report</t>
  </si>
  <si>
    <t>Variance against book stock; cleared only through approved adjustments</t>
  </si>
  <si>
    <t>Count PV/CEN01/26-27/00001 of CEN01-QA-R1411-B1: book 7, scanned 6; variance [('Missing', 16)]. Closing before adjustments: HTTP 409 · FR-INV-021 · Some variances have no decided adjustment yet. Raise adjustments and have them approved or rejected before closing.. After approval: Closed, variances ['Cleared by adjustment']</t>
  </si>
  <si>
    <t>Section 14 notifications sent to the recipients shown</t>
  </si>
  <si>
    <t>Each event notifies its recipients</t>
  </si>
  <si>
    <t>Received by the QA users this run: NTF-01→appr/pd, NTF-02→appr/sk/sup, NTF-03→sup, NTF-04→appr/sk/sup, NTF-05→off/sup, NTF-08→pd/sup, NTF-09→off, NTF-10→pd/sup, NTF-11→appr/sk, NTF-13→appr/off/pd/sk/sup, NTF-14→appr/sk, NTF-15→pd, NTF-16→pd, NTF-DEV→off/pd</t>
  </si>
  <si>
    <t>Delivered in-app and, where configured, by e-mail and SMS</t>
  </si>
  <si>
    <t>In-app always; e-mail and SMS when the channels are configured</t>
  </si>
  <si>
    <t>In-app NTF-01/NTF-02: True. E-mail to the approver: 1; SMS sent: 3 (delivery step sent 4)</t>
  </si>
  <si>
    <t>Configurable alerts</t>
  </si>
  <si>
    <t>Ageing and turnaround, stock thresholds, repeated GPS mismatch, return rates, unresolved sites</t>
  </si>
  <si>
    <t>Re-order threshold alert to Procurement: yes. Repeated GPS mismatch (threshold set to 1 in Parameters) to PD Office: yes</t>
  </si>
  <si>
    <t>Items not actioned escalate to the next level</t>
  </si>
  <si>
    <t>Escalation after the configured period</t>
  </si>
  <si>
    <t>Requisition waiting 30 h at the Store In-Charge: escalation notice to PD Office delivered</t>
  </si>
  <si>
    <t>Assigned-work notifications cannot be switched off</t>
  </si>
  <si>
    <t>Approvals, exceptions and re-captures stay on</t>
  </si>
  <si>
    <t>Asked to mute NTF-08 (exceptions) and NTF-14 (re-order digest): muted now ['NTF-14']</t>
  </si>
  <si>
    <t>Approval matrix by value with escalation</t>
  </si>
  <si>
    <t>Above the officer's limit the requisition escalates to the next level</t>
  </si>
  <si>
    <t>Value Rs 1,110,000 → required level 2. Store In-Charge: status Submitted, now at level 2 (QA Approving Officer (Store In-Charge) 18-09-2026 14:11; ). Acting again: HTTP 409 · FR-REQ-010 · Requisition REQ/CEN/26-27/00030 is with PD Office (level 2); your level is 1.. PD Office notified: yes; PD Office approval: Approved</t>
  </si>
  <si>
    <t>Reservations lapse automatically</t>
  </si>
  <si>
    <t>Unissued reservations released after the validity; requester notified</t>
  </si>
  <si>
    <t>After the validity: requisition Lapsed, reserved label now Received; supervisor notified (NTF-04): yes</t>
  </si>
  <si>
    <t>Drill-down Summary → area → site → document → item → evidence</t>
  </si>
  <si>
    <t>Within the viewer's scope</t>
  </si>
  <si>
    <t>Path: All areas › LUM-LED-090W-PO2611-001 #16. Item level shows history (13 entries) and validation record None. Other zone's supervisor: HTTP 404</t>
  </si>
  <si>
    <t>Installations and pending sites on a map</t>
  </si>
  <si>
    <t>Filterable by zone, site and period</t>
  </si>
  <si>
    <t>Central: 7 sites, 14 installation points; QA site marker planned with 3 installation point(s); a 2020 period shows 0 points</t>
  </si>
  <si>
    <t>Reports scheduled for automatic delivery</t>
  </si>
  <si>
    <t>Delivered to nominated recipients</t>
  </si>
  <si>
    <t>Schedule next run 2026-09-19T02:00:00Z; run now: Done, 5 rows; recipient download HTTP 200 (non-recipient 403); e-mailed with CSV attachment: yes; in-app notice: yes</t>
  </si>
  <si>
    <t>Phone bound to a named user; change of phone re-authorised</t>
  </si>
  <si>
    <t>Field evidence only from the user's bound phone; a replacement needs approval</t>
  </si>
  <si>
    <t>Setup required for the officer: True. Before setup test: HTTP 403 · FR-SEC-009 · Finish mobile setup on this phone first (test photograph).. Mock location in setup: refused. Setup: Active. Second phone: AwaitingApproval, submitting from it: HTTP 403 · FR-SEC-009 · This phone is waiting for the administrator to approve it as your new phone.. After approval: Active, old phone session: HTTP 401</t>
  </si>
  <si>
    <t>Defects found in the gap analysis — status after remediation</t>
  </si>
  <si>
    <t>All six were reproduced on 18-09-2026 before the fix; the same probes now run in every acceptance run</t>
  </si>
  <si>
    <t>ID</t>
  </si>
  <si>
    <t>Defect</t>
  </si>
  <si>
    <t>Severity</t>
  </si>
  <si>
    <t>Fix applied</t>
  </si>
  <si>
    <t>Probe result in the latest run</t>
  </si>
  <si>
    <t>Requirements affected</t>
  </si>
  <si>
    <t>Every role could read the whole audit trail</t>
  </si>
  <si>
    <t>High</t>
  </si>
  <si>
    <t>AuditController: full trail only with the new audit permission; others see their own actions.</t>
  </si>
  <si>
    <t>FR-SEC-003, FR-RPT-008</t>
  </si>
  <si>
    <t>Clock-drift check allowed 65 minutes, not 5</t>
  </si>
  <si>
    <t>Medium</t>
  </si>
  <si>
    <t>Drift measured against the phone clock at synchronisation, at the configured limit.</t>
  </si>
  <si>
    <t>A returned item kept its site while in quarantine</t>
  </si>
  <si>
    <t>ReturnService clears SiteId on receipt; the return note keeps the site.</t>
  </si>
  <si>
    <t>A PO line could be re-specified after its article existed</t>
  </si>
  <si>
    <t>MasterService refuses changes to category, specification, description and unit once an article exists.</t>
  </si>
  <si>
    <t>FR-MDM-003, FR-MDM-009</t>
  </si>
  <si>
    <t>Material could be issued to a site On hold</t>
  </si>
  <si>
    <t>IssueService re-checks site and article status at scan and posting.</t>
  </si>
  <si>
    <t>FR-INV-025, FR-MDM-004</t>
  </si>
  <si>
    <t>Cancelling a requisition ignored data scope</t>
  </si>
  <si>
    <t>RequisitionService.CancelAsync (and DecideAsync) check store and site scope.</t>
  </si>
  <si>
    <t>FR-REQ-007, FR-SEC-003</t>
  </si>
  <si>
    <t>Deployment check — the LAN deployment against the FRD</t>
  </si>
  <si>
    <t>18 Sep 2026 · http://172.16.10.184:3001 (office LAN, production build, API on 127.0.0.1:5091)</t>
  </si>
  <si>
    <t>Ref</t>
  </si>
  <si>
    <t>FRD requirement</t>
  </si>
  <si>
    <t>Check performed</t>
  </si>
  <si>
    <t>Observed on the deployment</t>
  </si>
  <si>
    <t>Action and owner</t>
  </si>
  <si>
    <t>§21 TC-01…30</t>
  </si>
  <si>
    <t>Acceptance test cases, FRD Section 21</t>
  </si>
  <si>
    <t>frd_acceptance.py run through the LAN portal address, as users reach it</t>
  </si>
  <si>
    <t>First run matched development (14 PASS, 6 PASS*, 5 PARTIAL, 4 NOT BUILT, 1 FAIL; 6 defects). After the 18-09-2026 remediation, rerun on live: 57 checks, 48 PASS, 5 PASS*, 4 PARTIAL (TC-05, TC-27, TC-28, TC-30), 0 NOT BUILT, 0 FAIL; 0 of 6 defects reproduced.</t>
  </si>
  <si>
    <t>None for the deployment. The 4 partial cases stay on the Gap Register with their follow-up.</t>
  </si>
  <si>
    <t>Every action records the client address</t>
  </si>
  <si>
    <t>Signed in from the LAN address, then read the audit trail</t>
  </si>
  <si>
    <t>Before the fix every row showed 127.0.0.1: with no IIS / Nginx in front the API only saw the portal. Fixed with deploy/client-ip.cjs, which stamps each request with its own socket address. Retest: LAN sign-in recorded 172.16.10.184; forged X-Real-IP, X-Forwarded-For and Forwarded headers were ignored.</t>
  </si>
  <si>
    <t>Done. The launcher, START-SLIMS.bat, run-web.cmd and the SLIMS-Setup package all load client-ip.cjs.</t>
  </si>
  <si>
    <t>FR-FLD-008, FR-FLD-010</t>
  </si>
  <si>
    <t>GPS latitude, longitude and accuracy captured with each photograph</t>
  </si>
  <si>
    <t>Asked the browser for a position on the LAN address; then built the SLIMS Field app</t>
  </si>
  <si>
    <t>A browser refuses GPS on http:// (“Only secure origins are allowed”). Resolved on 18-09-2026 by the SLIMS Field Android app: it reads GPS natively, with Android's mock-location flag, and talks to the LAN server over HTTP, so field capture works without a certificate.</t>
  </si>
  <si>
    <t>Officers install the app from Settings ▸ Mobile Setup. HTTPS is still recommended for transport security (NFR-08).</t>
  </si>
  <si>
    <t>NFR-08</t>
  </si>
  <si>
    <t>TLS 1.2+ for all traffic; refresh cookie never sent without TLS</t>
  </si>
  <si>
    <t>Inspected the transport and the refresh cookie</t>
  </si>
  <si>
    <t>Plain HTTP on the LAN; the refresh cookie is httpOnly but not Secure (SecureCookies false, as it must be on HTTP). The release package ships HTTPS proxy configuration and SecureCookies true.</t>
  </si>
  <si>
    <t>Same HTTPS step as above, then set SecureCookies true in api\appsettings.Production.json.</t>
  </si>
  <si>
    <t>NFR-01</t>
  </si>
  <si>
    <t>A scan is validated within 2 seconds</t>
  </si>
  <si>
    <t>15 QR scans through the LAN portal</t>
  </si>
  <si>
    <t>Median 17 ms, slowest 40 ms.</t>
  </si>
  <si>
    <t>Repeat on production data volumes (NFR-11).</t>
  </si>
  <si>
    <t>NFR-02</t>
  </si>
  <si>
    <t>95 % of screens respond within 3 seconds</t>
  </si>
  <si>
    <t>7 pages and 6 data calls, 15 times each</t>
  </si>
  <si>
    <t>Pages: slowest 32 ms. Data calls: 95th percentile 29–70 ms, slowest 152 ms.</t>
  </si>
  <si>
    <t>NFR-03</t>
  </si>
  <si>
    <t>A year of data reports within 30 seconds</t>
  </si>
  <si>
    <t>All 15 reports run over 18 Sep 2025 – 18 Sep 2026</t>
  </si>
  <si>
    <t>Slowest report (Auto Purchase Indents) 154 ms.</t>
  </si>
  <si>
    <t>Measured on demonstration data; repeat after data migration.</t>
  </si>
  <si>
    <t>NFR-11</t>
  </si>
  <si>
    <t>≥ 500,000 labels, ≥ 50,000 sites, ≥ 5 million transactions a year</t>
  </si>
  <si>
    <t>Not run: needs a generated volume data set</t>
  </si>
  <si>
    <t>The database holds demonstration data only (80 MB, a few hundred labels).</t>
  </si>
  <si>
    <t>Volume test on a copy of the database before go-live.</t>
  </si>
  <si>
    <t>NFR-07</t>
  </si>
  <si>
    <t>Servers synchronise to a trusted time source</t>
  </si>
  <si>
    <t>w32tm /query /status on the host</t>
  </si>
  <si>
    <t>Not synchronised: source is the Local CMOS Clock, last successful sync unspecified. Evidence capture times and the clock-drift check (FR-FLD-011) are measured against this clock.</t>
  </si>
  <si>
    <t>IT, as administrator: point Windows Time at the domain controller or time.windows.com and resync.</t>
  </si>
  <si>
    <t>NFR-09</t>
  </si>
  <si>
    <t>99.5 % availability in operational hours</t>
  </si>
  <si>
    <t>Checked what restarts SLIMS after a crash or reboot</t>
  </si>
  <si>
    <t>SLIMS runs as a signed-in user's process. Nothing restarts it after a crash, and nothing starts it after a reboot. PIMRS on the same PC has an auto-start entry; SLIMS has none yet.</t>
  </si>
  <si>
    <t>Add start_slims.pyw --watch to Windows Startup (awaiting approval), or install as a service with 3-install-as-service on a server.</t>
  </si>
  <si>
    <t>NFR-10</t>
  </si>
  <si>
    <t>Backup: RPO ≤ 15 minutes, RTO ≤ 4 hours; database and evidence backed up together</t>
  </si>
  <si>
    <t>Read backup history and recovery model from SQL Server</t>
  </si>
  <si>
    <t>The Slims database has never been backed up, and its recovery model is SIMPLE, so point-in-time recovery (needed for a 15-minute RPO) is impossible. The evidence uploads folder has no backup either.</t>
  </si>
  <si>
    <t>Switch Slims to FULL recovery; schedule a nightly full backup, log backups every 15 minutes and an uploads copy; test a restore.</t>
  </si>
  <si>
    <t>Network access</t>
  </si>
  <si>
    <t>Office users reach the portal (FRD Section 4 access model)</t>
  </si>
  <si>
    <t>Read firewall rules and network profile</t>
  </si>
  <si>
    <t>Wi-Fi “PERA 2” is marked Public. There is no port rule for 3001, but an existing program rule allows node.exe inbound on Public networks, which is how PIMRS on port 3000 is reached today.</t>
  </si>
  <si>
    <t>Open http://172.16.10.184:3001 from a colleague's PC and a phone. If it fails, IT marks the network Private and runs 1-open-firewall as administrator.</t>
  </si>
  <si>
    <t>Address stability</t>
  </si>
  <si>
    <t>A stable address for all users</t>
  </si>
  <si>
    <t>PIMRS launcher log on the same PC</t>
  </si>
  <si>
    <t>The address changed from 172.16.10.160 to .113 to .184 within two days (DHCP). Each change breaks every bookmark.</t>
  </si>
  <si>
    <t>IT: DHCP reservation for this PC's MAC address (2-set-fixed-ip shows it).</t>
  </si>
  <si>
    <t>Access enforced at the service interface</t>
  </si>
  <si>
    <t>Called the API port from the LAN; read listening sockets</t>
  </si>
  <si>
    <t>API listens on 127.0.0.1:5091 only and is unreachable from the LAN; everything goes through the portal on 0.0.0.0:3001.</t>
  </si>
  <si>
    <t>None.</t>
  </si>
  <si>
    <t>Session and credential controls</t>
  </si>
  <si>
    <t>Read the deployed settings</t>
  </si>
  <si>
    <t>Each installation writes its own random 64-character JWT signing key on first start; the portable package ships without any machine settings. Lock-out after 5 failures for 15 minutes confirmed in code.</t>
  </si>
  <si>
    <t>Portability</t>
  </si>
  <si>
    <t>Install on another PC or server</t>
  </si>
  <si>
    <t>SLIMS-Setup run against an empty database on spare ports</t>
  </si>
  <si>
    <t>Database created and seeded in 4 seconds; first sysadmin sign-in set the password; the bundled node.exe served all pages and assets and proxied the API. Test database removed afterwards.</t>
  </si>
  <si>
    <t>Business rules, reports and notifications</t>
  </si>
  <si>
    <t>Coverage of FRD Sections 10, 14 and 15.1</t>
  </si>
  <si>
    <t>Business rules (FRD Section 10)</t>
  </si>
  <si>
    <t>Rule</t>
  </si>
  <si>
    <t>Statement</t>
  </si>
  <si>
    <t>Evidence</t>
  </si>
  <si>
    <t>No PO / reference → no standard receipt.</t>
  </si>
  <si>
    <t>Posting without a PO refused (TC-02).</t>
  </si>
  <si>
    <t>No valid item / QR → no controlled stock movement.</t>
  </si>
  <si>
    <t>Forged / unregistered labels refused (TC-03).</t>
  </si>
  <si>
    <t>No approved requisition → no issue to site.</t>
  </si>
  <si>
    <t>Issue refused before approval (TC-12).</t>
  </si>
  <si>
    <t>BR-04</t>
  </si>
  <si>
    <t>An issue must identify a registered Site ID.</t>
  </si>
  <si>
    <t>Requisition needs a registered site ID (TC-07).</t>
  </si>
  <si>
    <t>Installation requires before and after evidence.</t>
  </si>
  <si>
    <t>Refused without AFTER photo (TC-16).</t>
  </si>
  <si>
    <t>A GPS mismatch creates an exception; it never completes an installation.</t>
  </si>
  <si>
    <t>Mismatch held for review (TC-19).</t>
  </si>
  <si>
    <t>BR-07</t>
  </si>
  <si>
    <t>An out-of-order return requires a QR scan and a condition / reason.</t>
  </si>
  <si>
    <t>Reason codes and consignment condition recorded at receipt.</t>
  </si>
  <si>
    <t>Every stock movement updates the item ledger.</t>
  </si>
  <si>
    <t>Quantity ledger (StockMovement) with reconciliation.</t>
  </si>
  <si>
    <t>Every exception or override requires authorised review and an audit trail.</t>
  </si>
  <si>
    <t>Exceptions, disposal, adjustments and amendments need approval; over-receipt exception route still missing.</t>
  </si>
  <si>
    <t>BR-10</t>
  </si>
  <si>
    <t>A site must exist in the system before material is issued to it.</t>
  </si>
  <si>
    <t>Site must exist before requisition and issue.</t>
  </si>
  <si>
    <t>A QR identifier is unique system-wide and never reused.</t>
  </si>
  <si>
    <t>Unique, never reused (TC-04).</t>
  </si>
  <si>
    <t>BR-12</t>
  </si>
  <si>
    <t>The item code carries its PO reference for the item's whole life.</t>
  </si>
  <si>
    <t>PO in the item code.</t>
  </si>
  <si>
    <t>BR-13</t>
  </si>
  <si>
    <t>Receipt may not exceed the PO line balance without an approved over-receipt exception.</t>
  </si>
  <si>
    <t>Block holds; exception route missing (TC-05).</t>
  </si>
  <si>
    <t>Stock is always at a location, and available only after put-away to a Stock bin.</t>
  </si>
  <si>
    <t>Receiving area and put-away by scan (TC-06).</t>
  </si>
  <si>
    <t>Approved quantity is reserved and cannot be issued against another requisition.</t>
  </si>
  <si>
    <t>Reservation respected (TC-10).</t>
  </si>
  <si>
    <t>Issued quantity may never exceed the approved quantity.</t>
  </si>
  <si>
    <t>Excess refused (TC-13).</t>
  </si>
  <si>
    <t>An item issued to a site is unavailable for another issue until an authorised transaction changes its status.</t>
  </si>
  <si>
    <t>Issued item refused (TC-14).</t>
  </si>
  <si>
    <t>BR-18</t>
  </si>
  <si>
    <t>A Lighting Supervisor may requisition only for sites in their scope.</t>
  </si>
  <si>
    <t>Out-of-scope site refused (TC-07).</t>
  </si>
  <si>
    <t>Photographs are captured live; gallery selection and upload are not possible.</t>
  </si>
  <si>
    <t>Live camera in the field app only (TC-17).</t>
  </si>
  <si>
    <t>BR-20</t>
  </si>
  <si>
    <t>Coordinates and times come from the device at capture and cannot be edited.</t>
  </si>
  <si>
    <t>Coordinates from the phone's own fix per photograph; mock location refused.</t>
  </si>
  <si>
    <t>BR-21</t>
  </si>
  <si>
    <t>The original photograph is preserved; the stamped copy is generated by the system.</t>
  </si>
  <si>
    <t>Original kept with SHA-256; stamped copy made on the server.</t>
  </si>
  <si>
    <t>BR-22</t>
  </si>
  <si>
    <t>Returned failed items enter Quarantine, never issuable stock directly.</t>
  </si>
  <si>
    <t>Returns land in quarantine (TC-23).</t>
  </si>
  <si>
    <t>Warranty eligibility is computed by the system, not chosen by the user.</t>
  </si>
  <si>
    <t>Computed by the system (TC-25).</t>
  </si>
  <si>
    <t>Disposal requires recorded approval.</t>
  </si>
  <si>
    <t>Disposal before condemnation refused (TC-26).</t>
  </si>
  <si>
    <t>BR-25</t>
  </si>
  <si>
    <t>No transaction may make stock negative.</t>
  </si>
  <si>
    <t>Cannot arise in the label model.</t>
  </si>
  <si>
    <t>No posted transaction is deleted; corrections are reversals or approved amendments.</t>
  </si>
  <si>
    <t>No delete; GRN reversal only.</t>
  </si>
  <si>
    <t>No user approves or reviews a transaction they created.</t>
  </si>
  <si>
    <t>Self-approval and self-review refused (TC-09, TC-20).</t>
  </si>
  <si>
    <t>BR-28</t>
  </si>
  <si>
    <t>Stock adjustments require a reason and an approver.</t>
  </si>
  <si>
    <t>Adjustments with second-person approval.</t>
  </si>
  <si>
    <t>BR-29</t>
  </si>
  <si>
    <t>Offline transactions keep their original capture time and coordinates.</t>
  </si>
  <si>
    <t>Offline queue with automatic synchronisation.</t>
  </si>
  <si>
    <t>BR-30</t>
  </si>
  <si>
    <t>A transaction ID is accepted once.</t>
  </si>
  <si>
    <t>Client transaction IDs (TC-22).</t>
  </si>
  <si>
    <t>BR-31</t>
  </si>
  <si>
    <t>Changing a site's coordinates after material has been issued to it requires approval.</t>
  </si>
  <si>
    <t>Restricted to configuring roles; no approval.</t>
  </si>
  <si>
    <t>BR-32</t>
  </si>
  <si>
    <t>A store or location holding stock cannot be deactivated.</t>
  </si>
  <si>
    <t>Refused while holding stock.</t>
  </si>
  <si>
    <t>BR-33</t>
  </si>
  <si>
    <t>Removed items must reach a store within the configured return period.</t>
  </si>
  <si>
    <t>Escalation of work not actioned.</t>
  </si>
  <si>
    <t>Report catalogue (FRD Section 15.1)</t>
  </si>
  <si>
    <t>Report</t>
  </si>
  <si>
    <t>Name</t>
  </si>
  <si>
    <t>Current build</t>
  </si>
  <si>
    <t>RPT-01</t>
  </si>
  <si>
    <t>PO receipt register</t>
  </si>
  <si>
    <t>Report “Goods Receipt / Inward Register”.</t>
  </si>
  <si>
    <t>RPT-02</t>
  </si>
  <si>
    <t>Discrepancy &amp; over-receipt register</t>
  </si>
  <si>
    <t>Discrepancies only; no over-receipt exceptions.</t>
  </si>
  <si>
    <t>RPT-03</t>
  </si>
  <si>
    <t>Stock position</t>
  </si>
  <si>
    <t>Stock screen; no export.</t>
  </si>
  <si>
    <t>RPT-04</t>
  </si>
  <si>
    <t>Stock Reconciliation report (TC-29).</t>
  </si>
  <si>
    <t>RPT-05</t>
  </si>
  <si>
    <t>Requisition status &amp; turnaround</t>
  </si>
  <si>
    <t>Requisition status with turnaround hours.</t>
  </si>
  <si>
    <t>RPT-06</t>
  </si>
  <si>
    <t>Issue register &amp; gate passes</t>
  </si>
  <si>
    <t>Issue register with gate passes and acknowledgement.</t>
  </si>
  <si>
    <t>RPT-07</t>
  </si>
  <si>
    <t>Site installation report</t>
  </si>
  <si>
    <t>Installation activity report.</t>
  </si>
  <si>
    <t>RPT-08</t>
  </si>
  <si>
    <t>GPS validation report</t>
  </si>
  <si>
    <t>Distance, allowed limit, accuracy and status in the installation report.</t>
  </si>
  <si>
    <t>RPT-09</t>
  </si>
  <si>
    <t>Evidence register</t>
  </si>
  <si>
    <t>Evidence Register with SHA-256, capture and sync time, device.</t>
  </si>
  <si>
    <t>RPT-10</t>
  </si>
  <si>
    <t>Exception register &amp; ageing</t>
  </si>
  <si>
    <t>Exception report with age, escalation level and field verification.</t>
  </si>
  <si>
    <t>RPT-11</t>
  </si>
  <si>
    <t>Out-of-order &amp; return report</t>
  </si>
  <si>
    <t>Out-of-order and return report.</t>
  </si>
  <si>
    <t>RPT-12</t>
  </si>
  <si>
    <t>Warranty claim register</t>
  </si>
  <si>
    <t>Claims listed; value recovered not recorded.</t>
  </si>
  <si>
    <t>RPT-13</t>
  </si>
  <si>
    <t>Scrap &amp; disposal register</t>
  </si>
  <si>
    <t>Scrap and condemnation register.</t>
  </si>
  <si>
    <t>RPT-14</t>
  </si>
  <si>
    <t>Site-wise progress</t>
  </si>
  <si>
    <t>Site-wise consumption; no sanctioned quantity or progress.</t>
  </si>
  <si>
    <t>RPT-15</t>
  </si>
  <si>
    <t>Item-wise consumption</t>
  </si>
  <si>
    <t>By site and article; no article roll-up.</t>
  </si>
  <si>
    <t>RPT-16</t>
  </si>
  <si>
    <t>PO utilisation</t>
  </si>
  <si>
    <t>PO-wise consumption and balance.</t>
  </si>
  <si>
    <t>RPT-17</t>
  </si>
  <si>
    <t>Officer performance</t>
  </si>
  <si>
    <t>Officer productivity.</t>
  </si>
  <si>
    <t>RPT-18</t>
  </si>
  <si>
    <t>Stock ageing</t>
  </si>
  <si>
    <t>Stock ageing bands.</t>
  </si>
  <si>
    <t>RPT-19</t>
  </si>
  <si>
    <t>Item traceability</t>
  </si>
  <si>
    <t>Item view, not a report; no photographs (TC-28).</t>
  </si>
  <si>
    <t>RPT-20</t>
  </si>
  <si>
    <t>Audit trail extract</t>
  </si>
  <si>
    <t>Audit screen scoped (DF-01 fixed); no export.</t>
  </si>
  <si>
    <t>Notifications (FRD Section 14)</t>
  </si>
  <si>
    <t>Event → recipients</t>
  </si>
  <si>
    <t>NTF-01</t>
  </si>
  <si>
    <t>Requisition submitted → Approving Officer</t>
  </si>
  <si>
    <t>Sent by NotificationService; e-mail / SMS copies where configured</t>
  </si>
  <si>
    <t>NTF-02</t>
  </si>
  <si>
    <t>Requisition approved → Lighting Supervisor; issuing Store / Warehouse Officer</t>
  </si>
  <si>
    <t>NTF-03</t>
  </si>
  <si>
    <t>Requisition rejected → Lighting Supervisor</t>
  </si>
  <si>
    <t>NTF-04</t>
  </si>
  <si>
    <t>Reservation lapsing in 1 day / lapsed → Lighting Supervisor; Store / Warehouse Officer</t>
  </si>
  <si>
    <t>NTF-05</t>
  </si>
  <si>
    <t>Issue completed (gate pass) → Lighting Supervisor; Lighting Officer of the site</t>
  </si>
  <si>
    <t>NTF-06</t>
  </si>
  <si>
    <t>Issue not acknowledged → Lighting Officer; Lighting Supervisor</t>
  </si>
  <si>
    <t>NTF-07</t>
  </si>
  <si>
    <t>Installation pending — issued but not installed → Lighting Officer; Lighting Supervisor</t>
  </si>
  <si>
    <t>NTF-08</t>
  </si>
  <si>
    <t>GPS exception raised → Project / Monitoring Officer; copy Lighting Supervisor</t>
  </si>
  <si>
    <t>NTF-09</t>
  </si>
  <si>
    <t>Missing evidence / re-capture required → Lighting Officer</t>
  </si>
  <si>
    <t>NTF-10</t>
  </si>
  <si>
    <t>Field verification requested → Lighting Supervisor</t>
  </si>
  <si>
    <t>NTF-11</t>
  </si>
  <si>
    <t>Out-of-order return reported → Store / Warehouse Officer of the receiving store</t>
  </si>
  <si>
    <t>NTF-12</t>
  </si>
  <si>
    <t>Return overdue → Lighting Supervisor; Project / Monitoring Officer</t>
  </si>
  <si>
    <t>NTF-13</t>
  </si>
  <si>
    <t>Over-receipt exception / adjustment / disposal awaiting approval → Approving Officer</t>
  </si>
  <si>
    <t>NTF-14</t>
  </si>
  <si>
    <t>Stock below re-order level → Store / Warehouse Officer; Procurement / Admin</t>
  </si>
  <si>
    <t>NTF-15</t>
  </si>
  <si>
    <t>Repeated GPS mismatch (≥ 3 in 30 days by one officer or at one site) → Project / Monitoring Officer</t>
  </si>
  <si>
    <t>NTF-16</t>
  </si>
  <si>
    <t>Unusual return rate (article or vendor above threshold) → Procurement / Admin; Management</t>
  </si>
  <si>
    <t>NTF-17</t>
  </si>
  <si>
    <t>Unresolved site installations (site with issued material and no installation for 14 days) → Project / Monitoring Officer</t>
  </si>
  <si>
    <t>Remediation plan — work packages in waves</t>
  </si>
  <si>
    <t>Est. person-days come from the size table on the Legend sheet; ‘Open requirements addressed’ counts Gap Register rows not yet Met that the package addresses</t>
  </si>
  <si>
    <t>WP</t>
  </si>
  <si>
    <t>Scope</t>
  </si>
  <si>
    <t>Size</t>
  </si>
  <si>
    <t>Depends on</t>
  </si>
  <si>
    <t>Items covered</t>
  </si>
  <si>
    <t>Defect fixes</t>
  </si>
  <si>
    <t>DF-01 audit scope, DF-02 clock check, DF-03 return clears site, DF-04 lock PO lines with articles, DF-05 re-check site and article status at issue, DF-06 scope on cancel</t>
  </si>
  <si>
    <t>DF-01, DF-02, DF-03, DF-04, DF-05, DF-06; FR-MDM-003, FR-MDM-004, FR-MDM-009, FR-INV-014, FR-INV-025, FR-REQ-007, FR-SEC-003</t>
  </si>
  <si>
    <t>Role model &amp; approval matrix</t>
  </si>
  <si>
    <t>Approving Officer, Project / Monitoring Officer, Management roles; value-band approval with escalation; reason-code lists; role administration</t>
  </si>
  <si>
    <t>L</t>
  </si>
  <si>
    <t>D-02, D-03</t>
  </si>
  <si>
    <t>FR-MDM-019, FR-REQ-005, FR-REQ-010, FR-SEC-002, FR-SEC-008</t>
  </si>
  <si>
    <t>Store locations &amp; put-away</t>
  </si>
  <si>
    <t>Store → Rack → Shelf → Bin; Receiving and Repair location types; scan put-away; bin moves</t>
  </si>
  <si>
    <t>D-01</t>
  </si>
  <si>
    <t>FR-MDM-012, FR-MDM-013, FR-INV-010, FR-INV-011, FR-INV-012</t>
  </si>
  <si>
    <t>Receipt controls</t>
  </si>
  <si>
    <t>Condition and per-item rejection; automatic discrepancy notes; over-receipt exception; re-print reason; VAL-INV-001 message</t>
  </si>
  <si>
    <t>D-04; WP-01</t>
  </si>
  <si>
    <t>FR-MDM-008, FR-INV-003, FR-INV-004, FR-INV-005, FR-INV-006</t>
  </si>
  <si>
    <t>Requisition completion</t>
  </si>
  <si>
    <t>Priority and justification; draft editing; revise and resubmit; reservation lapse</t>
  </si>
  <si>
    <t>D-10</t>
  </si>
  <si>
    <t>FR-REQ-001, FR-REQ-004, FR-REQ-013, FR-REQ-014</t>
  </si>
  <si>
    <t>Evidence validation &amp; exception model</t>
  </si>
  <si>
    <t>Both-photo validation; Valid / Location Exception / Missing Evidence with review status; Rejected outcome; field verification; unified queue with filters</t>
  </si>
  <si>
    <t>D-02; WP-01</t>
  </si>
  <si>
    <t>FR-FLD-004, FR-EXC-001, FR-EXC-002, FR-EXC-004, FR-EXC-005, FR-EXC-006, FR-EXC-007</t>
  </si>
  <si>
    <t>Returns completion</t>
  </si>
  <si>
    <t>Usable route; condition and photos on report; history on receipt; replaced-item field</t>
  </si>
  <si>
    <t>D-06</t>
  </si>
  <si>
    <t>FR-INV-030, FR-INV-031, FR-INV-032, FR-INV-033, FR-INV-039</t>
  </si>
  <si>
    <t>Native / offline field application</t>
  </si>
  <si>
    <t>Offline queue and sync; client transaction IDs on every posting; live-only capture; camera QR scan; mock-location detection; device binding; installed quantity</t>
  </si>
  <si>
    <t>XL</t>
  </si>
  <si>
    <t>D-07</t>
  </si>
  <si>
    <t>FR-FLD-002, FR-FLD-003, FR-FLD-007, FR-FLD-008, FR-FLD-011, FR-FLD-012, FR-FLD-013, FR-SEC-007, FR-SEC-009</t>
  </si>
  <si>
    <t>Evidence integrity</t>
  </si>
  <si>
    <t>Original photo with SHA-256; server-generated stamped copy; Missing Evidence on hash mismatch</t>
  </si>
  <si>
    <t>Stock ledger &amp; controls</t>
  </si>
  <si>
    <t>Quantity ledger; transfers; adjustments with approval; physical verification; reconciliation report; amendment requests</t>
  </si>
  <si>
    <t>FR-INV-013, FR-INV-015, FR-INV-016, FR-INV-019, FR-INV-020, FR-INV-021, FR-EXC-011</t>
  </si>
  <si>
    <t>Notifications &amp; alerts</t>
  </si>
  <si>
    <t>Engine for NTF-01…17; SMS / e-mail gateway; alerts; escalation</t>
  </si>
  <si>
    <t>FR-INV-018, FR-INV-038, FR-EXC-010, FR-NTF-001, FR-NTF-002, FR-NTF-003, FR-NTF-004, FR-NTF-005</t>
  </si>
  <si>
    <t>Reporting completion</t>
  </si>
  <si>
    <t>Missing reports; common filters; drill-down; dashboard widgets; Excel / PDF export; trace screen; map; scheduling</t>
  </si>
  <si>
    <t>FR-INV-036, FR-RPT-002, FR-RPT-003, FR-RPT-004, FR-RPT-005, FR-RPT-006, FR-RPT-007, FR-RPT-009, FR-RPT-010</t>
  </si>
  <si>
    <t>Security &amp; configuration hardening</t>
  </si>
  <si>
    <t>Idle time-out; before-values and refused attempts in audit; scope on all lists; per-site tolerance; justification-length parameter; site file upload; division / ward scope; site-coordinate approval</t>
  </si>
  <si>
    <t>FR-MDM-015, FR-MDM-016, FR-MDM-017, FR-MDM-018, FR-MDM-020, FR-RPT-008, FR-SEC-004, FR-SEC-005</t>
  </si>
  <si>
    <t>Method, legend and planning assumptions</t>
  </si>
  <si>
    <t>How each rating was reached, and the inputs the workbook's formulas use</t>
  </si>
  <si>
    <t>Method</t>
  </si>
  <si>
    <t>1. Static review of the SLIMS reference build (backend/src, frontend) against each of the 122 requirements of FRD-GSL-001 v1.0; each rating cites the file that implements the behaviour.</t>
  </si>
  <si>
    <t>2. Live acceptance run: backend/frd_acceptance.py executed the 30 test cases of FRD Section 21 against the running build at http://172.16.10.184:3001 on 2026-09-18 14:12:13 (run tag 09181411). Results are on the Test Results sheet.</t>
  </si>
  <si>
    <t>3. Suspected defects were reproduced by probes in the same run; only reproduced defects are listed on the Defects sheet.</t>
  </si>
  <si>
    <t>4. The acceptance run used its own qa-* accounts (deactivated afterwards), a QA site and a QA purchase order. It wrote those transactions to the Slims database, which development and the LAN deployment share; no existing user's password was changed.</t>
  </si>
  <si>
    <t>7. Remediation 18-09-2026: the 26 requirements that were Not met were implemented and the six defects fixed; the acceptance run above repeats every original test case and adds one check per remediated requirement (Test Results, second table).</t>
  </si>
  <si>
    <t>6. Deployment check (18 Sep 2026): the LAN deployment was measured against the FRD's security and non-functional requirements - response times, transport, time source, availability, backup and network access. Results are on the Deployment Check sheet.</t>
  </si>
  <si>
    <t>5. To refresh after fixes: run  python backend/frd_acceptance.py  and update the Status column on the Gap Register — the Summary recalculates.</t>
  </si>
  <si>
    <t>Requirement status</t>
  </si>
  <si>
    <t>Meaning</t>
  </si>
  <si>
    <t>The build does what the requirement says; evidence cited.</t>
  </si>
  <si>
    <t>Some of the behaviour exists; the Gap column says what is missing.</t>
  </si>
  <si>
    <t>The function does not exist in the build.</t>
  </si>
  <si>
    <t>Acceptance test result</t>
  </si>
  <si>
    <t>Behaves as the FRD expects.</t>
  </si>
  <si>
    <t>The control holds, but the status value or message differs from the FRD.</t>
  </si>
  <si>
    <t>Part of the expected behaviour is present.</t>
  </si>
  <si>
    <t>The function does not exist.</t>
  </si>
  <si>
    <t>The system allows something the FRD forbids.</t>
  </si>
  <si>
    <t>Planning inputs (edit the yellow cells)</t>
  </si>
  <si>
    <t>Person-days</t>
  </si>
  <si>
    <t>Up to 2 person-days</t>
  </si>
  <si>
    <t>3–5 person-days</t>
  </si>
  <si>
    <t>6–10 person-days</t>
  </si>
  <si>
    <t>11–20 person-days</t>
  </si>
  <si>
    <t>Weight of a Partially met requirement in readiness</t>
  </si>
  <si>
    <t>Readiness = (Met + weight × Partially met) ÷ total. Assumption: a partial requirement counts as half done.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</si>
</sst>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5"/>
      <color rgb="FF114B3F"/>
      <name val="Arial"/>
      <charset val="134"/>
    </font>
    <font>
      <i/>
      <sz val="9"/>
      <color rgb="FF5E6B67"/>
      <name val="Arial"/>
      <charset val="134"/>
    </font>
    <font>
      <b/>
      <sz val="11"/>
      <color rgb="FF114B3F"/>
      <name val="Arial"/>
      <charset val="134"/>
    </font>
    <font>
      <sz val="9"/>
      <name val="Arial"/>
      <charset val="134"/>
    </font>
    <font>
      <b/>
      <sz val="9"/>
      <color rgb="FFFFFFFF"/>
      <name val="Arial"/>
      <charset val="134"/>
    </font>
    <font>
      <sz val="9"/>
      <color rgb="FF0000FF"/>
      <name val="Arial"/>
      <charset val="134"/>
    </font>
    <font>
      <b/>
      <sz val="9"/>
      <name val="Arial"/>
      <charset val="134"/>
    </font>
    <font>
      <i/>
      <sz val="8"/>
      <color rgb="FF5E6B67"/>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3">
    <fill>
      <patternFill patternType="none"/>
    </fill>
    <fill>
      <patternFill patternType="gray125"/>
    </fill>
    <fill>
      <patternFill patternType="solid">
        <fgColor rgb="FF114B3F"/>
        <bgColor indexed="64"/>
      </patternFill>
    </fill>
    <fill>
      <patternFill patternType="solid">
        <fgColor rgb="FFFFFF00"/>
        <bgColor indexed="64"/>
      </patternFill>
    </fill>
    <fill>
      <patternFill patternType="solid">
        <fgColor rgb="FFE3EFEA"/>
        <bgColor indexed="64"/>
      </patternFill>
    </fill>
    <fill>
      <patternFill patternType="solid">
        <fgColor rgb="FFDDF0E3"/>
        <bgColor indexed="64"/>
      </patternFill>
    </fill>
    <fill>
      <patternFill patternType="solid">
        <fgColor rgb="FFE8F3E1"/>
        <bgColor indexed="64"/>
      </patternFill>
    </fill>
    <fill>
      <patternFill patternType="solid">
        <fgColor rgb="FFFDF1DF"/>
        <bgColor indexed="64"/>
      </patternFill>
    </fill>
    <fill>
      <patternFill patternType="solid">
        <fgColor rgb="FFFBEAE9"/>
        <bgColor indexed="64"/>
      </patternFill>
    </fill>
    <fill>
      <patternFill patternType="solid">
        <fgColor rgb="FFF4C7C3"/>
        <bgColor indexed="64"/>
      </patternFill>
    </fill>
    <fill>
      <patternFill patternType="solid">
        <fgColor rgb="FFD6ECF3"/>
        <bgColor indexed="64"/>
      </patternFill>
    </fill>
    <fill>
      <patternFill patternType="solid">
        <fgColor rgb="FFECEC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9D6D0"/>
      </left>
      <right style="thin">
        <color rgb="FFC9D6D0"/>
      </right>
      <top style="thin">
        <color rgb="FFC9D6D0"/>
      </top>
      <bottom style="thin">
        <color rgb="FFC9D6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177"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12"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13" borderId="5" applyNumberFormat="0" applyAlignment="0" applyProtection="0">
      <alignment vertical="center"/>
    </xf>
    <xf numFmtId="0" fontId="19" fillId="14" borderId="6" applyNumberFormat="0" applyAlignment="0" applyProtection="0">
      <alignment vertical="center"/>
    </xf>
    <xf numFmtId="0" fontId="20" fillId="14" borderId="5" applyNumberFormat="0" applyAlignment="0" applyProtection="0">
      <alignment vertical="center"/>
    </xf>
    <xf numFmtId="0" fontId="21" fillId="15"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8" fillId="40" borderId="0" applyNumberFormat="0" applyBorder="0" applyAlignment="0" applyProtection="0">
      <alignment vertical="center"/>
    </xf>
    <xf numFmtId="0" fontId="28" fillId="41" borderId="0" applyNumberFormat="0" applyBorder="0" applyAlignment="0" applyProtection="0">
      <alignment vertical="center"/>
    </xf>
    <xf numFmtId="0" fontId="27" fillId="42" borderId="0" applyNumberFormat="0" applyBorder="0" applyAlignment="0" applyProtection="0">
      <alignment vertical="center"/>
    </xf>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1" xfId="0" applyFont="1" applyFill="1" applyBorder="1" applyAlignment="1">
      <alignment vertical="center" wrapText="1"/>
    </xf>
    <xf numFmtId="0" fontId="4" fillId="0" borderId="1" xfId="0" applyFont="1" applyBorder="1" applyAlignment="1">
      <alignment vertical="top" wrapText="1"/>
    </xf>
    <xf numFmtId="0" fontId="6" fillId="3" borderId="1" xfId="0" applyFont="1" applyFill="1" applyBorder="1" applyAlignment="1">
      <alignment horizontal="left"/>
    </xf>
    <xf numFmtId="0" fontId="7" fillId="0" borderId="0" xfId="0" applyFont="1"/>
    <xf numFmtId="9" fontId="6" fillId="3" borderId="0" xfId="0" applyNumberFormat="1" applyFont="1" applyFill="1" applyAlignment="1">
      <alignment horizontal="left"/>
    </xf>
    <xf numFmtId="0" fontId="5"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6" fillId="3" borderId="1" xfId="0" applyFont="1" applyFill="1" applyBorder="1" applyAlignment="1">
      <alignment horizontal="center" vertical="top" wrapText="1"/>
    </xf>
    <xf numFmtId="0" fontId="7" fillId="4" borderId="1" xfId="0" applyFont="1" applyFill="1" applyBorder="1" applyAlignment="1">
      <alignment vertical="top" wrapText="1"/>
    </xf>
    <xf numFmtId="0" fontId="7" fillId="4" borderId="1" xfId="0" applyFont="1" applyFill="1" applyBorder="1" applyAlignment="1">
      <alignment horizontal="center" vertical="top" wrapText="1"/>
    </xf>
    <xf numFmtId="0" fontId="7" fillId="0" borderId="1" xfId="0" applyFont="1" applyBorder="1" applyAlignment="1">
      <alignment vertical="top" wrapText="1"/>
    </xf>
    <xf numFmtId="0" fontId="7" fillId="0" borderId="1" xfId="0" applyFont="1" applyBorder="1" applyAlignment="1">
      <alignment horizontal="center" vertical="top" wrapText="1"/>
    </xf>
    <xf numFmtId="9" fontId="7" fillId="0" borderId="1" xfId="0" applyNumberFormat="1" applyFont="1" applyBorder="1" applyAlignment="1">
      <alignment horizontal="center" vertical="top" wrapText="1"/>
    </xf>
    <xf numFmtId="0" fontId="7" fillId="5" borderId="1" xfId="0" applyFont="1" applyFill="1" applyBorder="1" applyAlignment="1">
      <alignment horizontal="center" vertical="top" wrapText="1"/>
    </xf>
    <xf numFmtId="0" fontId="8" fillId="0" borderId="0" xfId="0" applyFont="1"/>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9" fontId="4" fillId="0" borderId="1" xfId="0" applyNumberFormat="1" applyFont="1" applyBorder="1" applyAlignment="1">
      <alignment horizontal="center" vertical="top" wrapText="1"/>
    </xf>
    <xf numFmtId="0" fontId="7" fillId="9" borderId="1" xfId="0" applyFont="1" applyFill="1" applyBorder="1" applyAlignment="1">
      <alignment horizontal="center" vertical="top" wrapText="1"/>
    </xf>
    <xf numFmtId="9" fontId="7" fillId="4" borderId="1" xfId="0" applyNumberFormat="1" applyFont="1" applyFill="1" applyBorder="1" applyAlignment="1">
      <alignment horizontal="center" vertical="top" wrapText="1"/>
    </xf>
    <xf numFmtId="0" fontId="7" fillId="10" borderId="1" xfId="0" applyFont="1" applyFill="1" applyBorder="1" applyAlignment="1">
      <alignment horizontal="center" vertical="top" wrapText="1"/>
    </xf>
    <xf numFmtId="0" fontId="7" fillId="11" borderId="1" xfId="0" applyFont="1" applyFill="1" applyBorder="1" applyAlignment="1">
      <alignment horizontal="center"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7">
    <dxf>
      <font>
        <name val="Arial"/>
        <scheme val="none"/>
        <b val="1"/>
        <sz val="9"/>
      </font>
      <fill>
        <patternFill patternType="solid">
          <fgColor rgb="FFDDF0E3"/>
        </patternFill>
      </fill>
    </dxf>
    <dxf>
      <font>
        <name val="Arial"/>
        <scheme val="none"/>
        <b val="1"/>
        <sz val="9"/>
      </font>
      <fill>
        <patternFill patternType="solid">
          <fgColor rgb="FFFDF1DF"/>
        </patternFill>
      </fill>
    </dxf>
    <dxf>
      <font>
        <name val="Arial"/>
        <scheme val="none"/>
        <b val="1"/>
        <sz val="9"/>
      </font>
      <fill>
        <patternFill patternType="solid">
          <fgColor rgb="FFFBEAE9"/>
        </patternFill>
      </fill>
    </dxf>
    <dxf>
      <font>
        <name val="Arial"/>
        <scheme val="none"/>
        <b val="1"/>
        <sz val="9"/>
      </font>
      <fill>
        <patternFill patternType="solid">
          <fgColor rgb="FFE8F3E1"/>
        </patternFill>
      </fill>
    </dxf>
    <dxf>
      <font>
        <name val="Arial"/>
        <scheme val="none"/>
        <b val="1"/>
        <sz val="9"/>
      </font>
      <fill>
        <patternFill patternType="solid">
          <fgColor rgb="FFF4C7C3"/>
        </patternFill>
      </fill>
    </dxf>
    <dxf>
      <font>
        <name val="Arial"/>
        <scheme val="none"/>
        <b val="1"/>
        <sz val="9"/>
      </font>
      <fill>
        <patternFill patternType="solid">
          <fgColor rgb="FFECECEC"/>
        </patternFill>
      </fill>
    </dxf>
    <dxf>
      <font>
        <name val="Arial"/>
        <scheme val="none"/>
        <b val="1"/>
        <sz val="9"/>
      </font>
      <fill>
        <patternFill patternType="solid">
          <fgColor rgb="FFD6ECF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t>Requirements by module and status</a:t>
            </a:r>
          </a:p>
        </c:rich>
      </c:tx>
      <c:layout/>
      <c:overlay val="0"/>
    </c:title>
    <c:autoTitleDeleted val="0"/>
    <c:plotArea>
      <c:layout/>
      <c:barChart>
        <c:barDir val="bar"/>
        <c:grouping val="stacked"/>
        <c:varyColors val="0"/>
        <c:ser>
          <c:idx val="0"/>
          <c:order val="0"/>
          <c:tx>
            <c:strRef>
              <c:f>Summary!$C$8</c:f>
              <c:strCache>
                <c:ptCount val="1"/>
                <c:pt idx="0">
                  <c:v>Met</c:v>
                </c:pt>
              </c:strCache>
            </c:strRef>
          </c:tx>
          <c:spPr>
            <a:solidFill>
              <a:srgbClr val="2E8B57"/>
            </a:solidFill>
            <a:ln>
              <a:solidFill>
                <a:srgbClr val="2E8B57"/>
              </a:solidFill>
              <a:prstDash val="solid"/>
            </a:ln>
          </c:spPr>
          <c:invertIfNegative val="0"/>
          <c:dLbls>
            <c:delete val="1"/>
          </c:dLbls>
          <c:cat>
            <c:strRef>
              <c:f>Summary!$A$9:$A$16</c:f>
              <c:strCache>
                <c:ptCount val="8"/>
                <c:pt idx="0">
                  <c:v>Master Data</c:v>
                </c:pt>
                <c:pt idx="1">
                  <c:v>Inventory &amp; Stores</c:v>
                </c:pt>
                <c:pt idx="2">
                  <c:v>Requisition &amp; Workflow</c:v>
                </c:pt>
                <c:pt idx="3">
                  <c:v>Field Installation</c:v>
                </c:pt>
                <c:pt idx="4">
                  <c:v>Exception Management</c:v>
                </c:pt>
                <c:pt idx="5">
                  <c:v>Reporting &amp; Dashboards</c:v>
                </c:pt>
                <c:pt idx="6">
                  <c:v>Notifications &amp; Alerts</c:v>
                </c:pt>
                <c:pt idx="7">
                  <c:v>Security, Access &amp; Audit</c:v>
                </c:pt>
              </c:strCache>
            </c:strRef>
          </c:cat>
          <c:val>
            <c:numRef>
              <c:f>Summary!$C$9:$C$16</c:f>
              <c:numCache>
                <c:formatCode>General</c:formatCode>
                <c:ptCount val="8"/>
                <c:pt idx="0">
                  <c:v>10</c:v>
                </c:pt>
                <c:pt idx="1">
                  <c:v>26</c:v>
                </c:pt>
                <c:pt idx="2">
                  <c:v>9</c:v>
                </c:pt>
                <c:pt idx="3">
                  <c:v>9</c:v>
                </c:pt>
                <c:pt idx="4">
                  <c:v>6</c:v>
                </c:pt>
                <c:pt idx="5">
                  <c:v>4</c:v>
                </c:pt>
                <c:pt idx="6">
                  <c:v>5</c:v>
                </c:pt>
                <c:pt idx="7">
                  <c:v>3</c:v>
                </c:pt>
              </c:numCache>
            </c:numRef>
          </c:val>
        </c:ser>
        <c:ser>
          <c:idx val="1"/>
          <c:order val="1"/>
          <c:tx>
            <c:strRef>
              <c:f>Summary!$D$8</c:f>
              <c:strCache>
                <c:ptCount val="1"/>
                <c:pt idx="0">
                  <c:v>Partially met</c:v>
                </c:pt>
              </c:strCache>
            </c:strRef>
          </c:tx>
          <c:spPr>
            <a:solidFill>
              <a:srgbClr val="E0A33F"/>
            </a:solidFill>
            <a:ln>
              <a:solidFill>
                <a:srgbClr val="E0A33F"/>
              </a:solidFill>
              <a:prstDash val="solid"/>
            </a:ln>
          </c:spPr>
          <c:invertIfNegative val="0"/>
          <c:dLbls>
            <c:delete val="1"/>
          </c:dLbls>
          <c:cat>
            <c:strRef>
              <c:f>Summary!$A$9:$A$16</c:f>
              <c:strCache>
                <c:ptCount val="8"/>
                <c:pt idx="0">
                  <c:v>Master Data</c:v>
                </c:pt>
                <c:pt idx="1">
                  <c:v>Inventory &amp; Stores</c:v>
                </c:pt>
                <c:pt idx="2">
                  <c:v>Requisition &amp; Workflow</c:v>
                </c:pt>
                <c:pt idx="3">
                  <c:v>Field Installation</c:v>
                </c:pt>
                <c:pt idx="4">
                  <c:v>Exception Management</c:v>
                </c:pt>
                <c:pt idx="5">
                  <c:v>Reporting &amp; Dashboards</c:v>
                </c:pt>
                <c:pt idx="6">
                  <c:v>Notifications &amp; Alerts</c:v>
                </c:pt>
                <c:pt idx="7">
                  <c:v>Security, Access &amp; Audit</c:v>
                </c:pt>
              </c:strCache>
            </c:strRef>
          </c:cat>
          <c:val>
            <c:numRef>
              <c:f>Summary!$D$9:$D$16</c:f>
              <c:numCache>
                <c:formatCode>General</c:formatCode>
                <c:ptCount val="8"/>
                <c:pt idx="0">
                  <c:v>10</c:v>
                </c:pt>
                <c:pt idx="1">
                  <c:v>13</c:v>
                </c:pt>
                <c:pt idx="2">
                  <c:v>5</c:v>
                </c:pt>
                <c:pt idx="3">
                  <c:v>5</c:v>
                </c:pt>
                <c:pt idx="4">
                  <c:v>5</c:v>
                </c:pt>
                <c:pt idx="5">
                  <c:v>6</c:v>
                </c:pt>
                <c:pt idx="6">
                  <c:v>0</c:v>
                </c:pt>
                <c:pt idx="7">
                  <c:v>6</c:v>
                </c:pt>
              </c:numCache>
            </c:numRef>
          </c:val>
        </c:ser>
        <c:ser>
          <c:idx val="2"/>
          <c:order val="2"/>
          <c:tx>
            <c:strRef>
              <c:f>Summary!$E$8</c:f>
              <c:strCache>
                <c:ptCount val="1"/>
                <c:pt idx="0">
                  <c:v>Not met</c:v>
                </c:pt>
              </c:strCache>
            </c:strRef>
          </c:tx>
          <c:spPr>
            <a:solidFill>
              <a:srgbClr val="C0392B"/>
            </a:solidFill>
            <a:ln>
              <a:solidFill>
                <a:srgbClr val="C0392B"/>
              </a:solidFill>
              <a:prstDash val="solid"/>
            </a:ln>
          </c:spPr>
          <c:invertIfNegative val="0"/>
          <c:dLbls>
            <c:delete val="1"/>
          </c:dLbls>
          <c:cat>
            <c:strRef>
              <c:f>Summary!$A$9:$A$16</c:f>
              <c:strCache>
                <c:ptCount val="8"/>
                <c:pt idx="0">
                  <c:v>Master Data</c:v>
                </c:pt>
                <c:pt idx="1">
                  <c:v>Inventory &amp; Stores</c:v>
                </c:pt>
                <c:pt idx="2">
                  <c:v>Requisition &amp; Workflow</c:v>
                </c:pt>
                <c:pt idx="3">
                  <c:v>Field Installation</c:v>
                </c:pt>
                <c:pt idx="4">
                  <c:v>Exception Management</c:v>
                </c:pt>
                <c:pt idx="5">
                  <c:v>Reporting &amp; Dashboards</c:v>
                </c:pt>
                <c:pt idx="6">
                  <c:v>Notifications &amp; Alerts</c:v>
                </c:pt>
                <c:pt idx="7">
                  <c:v>Security, Access &amp; Audit</c:v>
                </c:pt>
              </c:strCache>
            </c:strRef>
          </c:cat>
          <c:val>
            <c:numRef>
              <c:f>Summary!$E$9:$E$16</c:f>
              <c:numCache>
                <c:formatCode>General</c:formatCode>
                <c:ptCount val="8"/>
                <c:pt idx="0">
                  <c:v>0</c:v>
                </c:pt>
                <c:pt idx="1">
                  <c:v>0</c:v>
                </c:pt>
                <c:pt idx="2">
                  <c:v>0</c:v>
                </c:pt>
                <c:pt idx="3">
                  <c:v>0</c:v>
                </c:pt>
                <c:pt idx="4">
                  <c:v>0</c:v>
                </c:pt>
                <c:pt idx="5">
                  <c:v>0</c:v>
                </c:pt>
                <c:pt idx="6">
                  <c:v>0</c:v>
                </c:pt>
                <c:pt idx="7">
                  <c:v>0</c:v>
                </c:pt>
              </c:numCache>
            </c:numRef>
          </c:val>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b"/>
        <c:majorGridlines/>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t>Requirements</a:t>
                </a:r>
              </a:p>
            </c:rich>
          </c:tx>
          <c:layout/>
          <c:overlay val="0"/>
        </c:title>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
        <c:crosses val="autoZero"/>
        <c:crossBetween val="between"/>
      </c:valAx>
    </c:plotArea>
    <c:legend>
      <c:legendPos val="b"/>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ead4452-5a2f-4221-aca1-0708b631056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42</xdr:row>
      <xdr:rowOff>0</xdr:rowOff>
    </xdr:from>
    <xdr:ext cx="7200000" cy="3290460"/>
    <xdr:graphicFrame>
      <xdr:nvGraphicFramePr>
        <xdr:cNvPr id="2" name="Chart 1"/>
        <xdr:cNvGraphicFramePr/>
      </xdr:nvGraphicFramePr>
      <xdr:xfrm>
        <a:off x="0" y="10088880"/>
        <a:ext cx="7199630" cy="328993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40"/>
  <sheetViews>
    <sheetView showGridLines="0" tabSelected="1" workbookViewId="0">
      <pane ySplit="3" topLeftCell="A4" activePane="bottomLeft" state="frozen"/>
      <selection/>
      <selection pane="bottomLeft" activeCell="A1" sqref="A1"/>
    </sheetView>
  </sheetViews>
  <sheetFormatPr defaultColWidth="9" defaultRowHeight="14.4"/>
  <cols>
    <col min="1" max="1" width="30" customWidth="1"/>
    <col min="2" max="7" width="13" customWidth="1"/>
    <col min="8" max="8" width="4" customWidth="1"/>
    <col min="9" max="9" width="30" customWidth="1"/>
    <col min="10" max="10" width="13" customWidth="1"/>
  </cols>
  <sheetData>
    <row r="1" ht="19.2" spans="1:10">
      <c r="A1" s="1" t="s">
        <v>0</v>
      </c>
    </row>
    <row r="2" spans="1:10">
      <c r="A2" s="2" t="s">
        <v>1</v>
      </c>
    </row>
    <row r="4" ht="24" spans="1:10">
      <c r="A4" s="10" t="s">
        <v>2</v>
      </c>
      <c r="B4" s="10" t="s">
        <v>3</v>
      </c>
      <c r="C4" s="10" t="s">
        <v>4</v>
      </c>
      <c r="D4" s="10" t="s">
        <v>5</v>
      </c>
      <c r="E4" s="10" t="s">
        <v>6</v>
      </c>
      <c r="F4" s="10" t="s">
        <v>7</v>
      </c>
      <c r="G4" s="10" t="s">
        <v>8</v>
      </c>
      <c r="I4" s="10" t="s">
        <v>9</v>
      </c>
      <c r="J4" s="10" t="s">
        <v>10</v>
      </c>
    </row>
    <row r="5" spans="1:10">
      <c r="A5" s="15" t="s">
        <v>11</v>
      </c>
      <c r="B5" s="11">
        <f>COUNTA('Gap Register'!$G$5:$G$126)</f>
        <v>122</v>
      </c>
      <c r="C5" s="11">
        <f>COUNTIF('Gap Register'!$G$5:$G$126,"Met")</f>
        <v>72</v>
      </c>
      <c r="D5" s="11">
        <f>COUNTIF('Gap Register'!$G$5:$G$126,"Partially met")</f>
        <v>50</v>
      </c>
      <c r="E5" s="11">
        <f>COUNTIF('Gap Register'!$G$5:$G$126,"Not met")</f>
        <v>0</v>
      </c>
      <c r="F5" s="17">
        <f>IFERROR((C5+Legend!$B$34*D5)/B5,0)</f>
        <v>0.795081967213115</v>
      </c>
      <c r="G5" s="17">
        <f>IFERROR((COUNTIFS('Gap Register'!$E$5:$E$126,"M",'Gap Register'!$G$5:$G$126,"Met")+Legend!$B$34*COUNTIFS('Gap Register'!$E$5:$E$126,"M",'Gap Register'!$G$5:$G$126,"Partially met"))/COUNTIF('Gap Register'!$E$5:$E$126,"M"),0)</f>
        <v>0.772277227722772</v>
      </c>
      <c r="I5" s="18" t="s">
        <v>12</v>
      </c>
      <c r="J5" s="11">
        <f>COUNTIF('Test Results'!$F$5:$F$34,"PASS")</f>
        <v>21</v>
      </c>
    </row>
    <row r="6" spans="1:10">
      <c r="A6" s="19" t="s">
        <v>13</v>
      </c>
      <c r="I6" s="20" t="s">
        <v>14</v>
      </c>
      <c r="J6" s="11">
        <f>COUNTIF('Test Results'!$F$5:$F$34,"PASS~*")</f>
        <v>5</v>
      </c>
    </row>
    <row r="7" spans="1:10">
      <c r="I7" s="21" t="s">
        <v>15</v>
      </c>
      <c r="J7" s="11">
        <f>COUNTIF('Test Results'!$F$5:$F$34,"PARTIAL")</f>
        <v>4</v>
      </c>
    </row>
    <row r="8" spans="1:10">
      <c r="A8" s="10" t="s">
        <v>16</v>
      </c>
      <c r="B8" s="10" t="s">
        <v>3</v>
      </c>
      <c r="C8" s="10" t="s">
        <v>4</v>
      </c>
      <c r="D8" s="10" t="s">
        <v>5</v>
      </c>
      <c r="E8" s="10" t="s">
        <v>6</v>
      </c>
      <c r="F8" s="10" t="s">
        <v>17</v>
      </c>
      <c r="G8" s="10" t="s">
        <v>7</v>
      </c>
      <c r="I8" s="22" t="s">
        <v>18</v>
      </c>
      <c r="J8" s="11">
        <f>COUNTIF('Test Results'!$F$5:$F$34,"NOT BUILT")</f>
        <v>0</v>
      </c>
    </row>
    <row r="9" spans="1:10">
      <c r="A9" s="15" t="s">
        <v>19</v>
      </c>
      <c r="B9" s="11">
        <f>COUNTIF('Gap Register'!$B$5:$B$126,A9)</f>
        <v>20</v>
      </c>
      <c r="C9" s="11">
        <f>COUNTIFS('Gap Register'!$B$5:$B$126,$A9,'Gap Register'!$G$5:$G$126,"Met")</f>
        <v>10</v>
      </c>
      <c r="D9" s="11">
        <f>COUNTIFS('Gap Register'!$B$5:$B$126,$A9,'Gap Register'!$G$5:$G$126,"Partially met")</f>
        <v>10</v>
      </c>
      <c r="E9" s="11">
        <f>COUNTIFS('Gap Register'!$B$5:$B$126,$A9,'Gap Register'!$G$5:$G$126,"Not met")</f>
        <v>0</v>
      </c>
      <c r="F9" s="23">
        <f t="shared" ref="F9:F17" si="0">IFERROR(C9/B9,0)</f>
        <v>0.5</v>
      </c>
      <c r="G9" s="23">
        <f>IFERROR((C9+Legend!$B$34*D9)/B9,0)</f>
        <v>0.75</v>
      </c>
      <c r="I9" s="24" t="s">
        <v>20</v>
      </c>
      <c r="J9" s="11">
        <f>COUNTIF('Test Results'!$F$5:$F$34,"FAIL")</f>
        <v>0</v>
      </c>
    </row>
    <row r="10" spans="1:10">
      <c r="A10" s="15" t="s">
        <v>21</v>
      </c>
      <c r="B10" s="11">
        <f>COUNTIF('Gap Register'!$B$5:$B$126,A10)</f>
        <v>39</v>
      </c>
      <c r="C10" s="11">
        <f>COUNTIFS('Gap Register'!$B$5:$B$126,$A10,'Gap Register'!$G$5:$G$126,"Met")</f>
        <v>26</v>
      </c>
      <c r="D10" s="11">
        <f>COUNTIFS('Gap Register'!$B$5:$B$126,$A10,'Gap Register'!$G$5:$G$126,"Partially met")</f>
        <v>13</v>
      </c>
      <c r="E10" s="11">
        <f>COUNTIFS('Gap Register'!$B$5:$B$126,$A10,'Gap Register'!$G$5:$G$126,"Not met")</f>
        <v>0</v>
      </c>
      <c r="F10" s="23">
        <f t="shared" si="0"/>
        <v>0.666666666666667</v>
      </c>
      <c r="G10" s="23">
        <f>IFERROR((C10+Legend!$B$34*D10)/B10,0)</f>
        <v>0.833333333333333</v>
      </c>
      <c r="I10" s="16" t="s">
        <v>22</v>
      </c>
      <c r="J10" s="16">
        <f>SUM(J5:J9)</f>
        <v>30</v>
      </c>
    </row>
    <row r="11" spans="1:10">
      <c r="A11" s="15" t="s">
        <v>23</v>
      </c>
      <c r="B11" s="11">
        <f>COUNTIF('Gap Register'!$B$5:$B$126,A11)</f>
        <v>14</v>
      </c>
      <c r="C11" s="11">
        <f>COUNTIFS('Gap Register'!$B$5:$B$126,$A11,'Gap Register'!$G$5:$G$126,"Met")</f>
        <v>9</v>
      </c>
      <c r="D11" s="11">
        <f>COUNTIFS('Gap Register'!$B$5:$B$126,$A11,'Gap Register'!$G$5:$G$126,"Partially met")</f>
        <v>5</v>
      </c>
      <c r="E11" s="11">
        <f>COUNTIFS('Gap Register'!$B$5:$B$126,$A11,'Gap Register'!$G$5:$G$126,"Not met")</f>
        <v>0</v>
      </c>
      <c r="F11" s="23">
        <f t="shared" si="0"/>
        <v>0.642857142857143</v>
      </c>
      <c r="G11" s="23">
        <f>IFERROR((C11+Legend!$B$34*D11)/B11,0)</f>
        <v>0.821428571428571</v>
      </c>
    </row>
    <row r="12" spans="1:10">
      <c r="A12" s="15" t="s">
        <v>24</v>
      </c>
      <c r="B12" s="11">
        <f>COUNTIF('Gap Register'!$B$5:$B$126,A12)</f>
        <v>14</v>
      </c>
      <c r="C12" s="11">
        <f>COUNTIFS('Gap Register'!$B$5:$B$126,$A12,'Gap Register'!$G$5:$G$126,"Met")</f>
        <v>9</v>
      </c>
      <c r="D12" s="11">
        <f>COUNTIFS('Gap Register'!$B$5:$B$126,$A12,'Gap Register'!$G$5:$G$126,"Partially met")</f>
        <v>5</v>
      </c>
      <c r="E12" s="11">
        <f>COUNTIFS('Gap Register'!$B$5:$B$126,$A12,'Gap Register'!$G$5:$G$126,"Not met")</f>
        <v>0</v>
      </c>
      <c r="F12" s="23">
        <f t="shared" si="0"/>
        <v>0.642857142857143</v>
      </c>
      <c r="G12" s="23">
        <f>IFERROR((C12+Legend!$B$34*D12)/B12,0)</f>
        <v>0.821428571428571</v>
      </c>
      <c r="I12" s="10" t="s">
        <v>25</v>
      </c>
      <c r="J12" s="10" t="s">
        <v>10</v>
      </c>
    </row>
    <row r="13" spans="1:10">
      <c r="A13" s="15" t="s">
        <v>26</v>
      </c>
      <c r="B13" s="11">
        <f>COUNTIF('Gap Register'!$B$5:$B$126,A13)</f>
        <v>11</v>
      </c>
      <c r="C13" s="11">
        <f>COUNTIFS('Gap Register'!$B$5:$B$126,$A13,'Gap Register'!$G$5:$G$126,"Met")</f>
        <v>6</v>
      </c>
      <c r="D13" s="11">
        <f>COUNTIFS('Gap Register'!$B$5:$B$126,$A13,'Gap Register'!$G$5:$G$126,"Partially met")</f>
        <v>5</v>
      </c>
      <c r="E13" s="11">
        <f>COUNTIFS('Gap Register'!$B$5:$B$126,$A13,'Gap Register'!$G$5:$G$126,"Not met")</f>
        <v>0</v>
      </c>
      <c r="F13" s="23">
        <f t="shared" si="0"/>
        <v>0.545454545454545</v>
      </c>
      <c r="G13" s="23">
        <f>IFERROR((C13+Legend!$B$34*D13)/B13,0)</f>
        <v>0.772727272727273</v>
      </c>
      <c r="I13" s="18" t="s">
        <v>27</v>
      </c>
      <c r="J13" s="11">
        <f>COUNTIF(Defects!$F$5:$F$10,"Fixed")</f>
        <v>6</v>
      </c>
    </row>
    <row r="14" spans="1:10">
      <c r="A14" s="15" t="s">
        <v>28</v>
      </c>
      <c r="B14" s="11">
        <f>COUNTIF('Gap Register'!$B$5:$B$126,A14)</f>
        <v>10</v>
      </c>
      <c r="C14" s="11">
        <f>COUNTIFS('Gap Register'!$B$5:$B$126,$A14,'Gap Register'!$G$5:$G$126,"Met")</f>
        <v>4</v>
      </c>
      <c r="D14" s="11">
        <f>COUNTIFS('Gap Register'!$B$5:$B$126,$A14,'Gap Register'!$G$5:$G$126,"Partially met")</f>
        <v>6</v>
      </c>
      <c r="E14" s="11">
        <f>COUNTIFS('Gap Register'!$B$5:$B$126,$A14,'Gap Register'!$G$5:$G$126,"Not met")</f>
        <v>0</v>
      </c>
      <c r="F14" s="23">
        <f t="shared" si="0"/>
        <v>0.4</v>
      </c>
      <c r="G14" s="23">
        <f>IFERROR((C14+Legend!$B$34*D14)/B14,0)</f>
        <v>0.7</v>
      </c>
      <c r="I14" s="24" t="s">
        <v>29</v>
      </c>
      <c r="J14" s="11">
        <f>COUNTIF(Defects!$F$5:$F$10,"Open")</f>
        <v>0</v>
      </c>
    </row>
    <row r="15" spans="1:10">
      <c r="A15" s="15" t="s">
        <v>30</v>
      </c>
      <c r="B15" s="11">
        <f>COUNTIF('Gap Register'!$B$5:$B$126,A15)</f>
        <v>5</v>
      </c>
      <c r="C15" s="11">
        <f>COUNTIFS('Gap Register'!$B$5:$B$126,$A15,'Gap Register'!$G$5:$G$126,"Met")</f>
        <v>5</v>
      </c>
      <c r="D15" s="11">
        <f>COUNTIFS('Gap Register'!$B$5:$B$126,$A15,'Gap Register'!$G$5:$G$126,"Partially met")</f>
        <v>0</v>
      </c>
      <c r="E15" s="11">
        <f>COUNTIFS('Gap Register'!$B$5:$B$126,$A15,'Gap Register'!$G$5:$G$126,"Not met")</f>
        <v>0</v>
      </c>
      <c r="F15" s="23">
        <f t="shared" si="0"/>
        <v>1</v>
      </c>
      <c r="G15" s="23">
        <f>IFERROR((C15+Legend!$B$34*D15)/B15,0)</f>
        <v>1</v>
      </c>
      <c r="I15" s="16" t="s">
        <v>22</v>
      </c>
      <c r="J15" s="16">
        <f>SUM(J13:J14)</f>
        <v>6</v>
      </c>
    </row>
    <row r="16" spans="1:10">
      <c r="A16" s="15" t="s">
        <v>31</v>
      </c>
      <c r="B16" s="11">
        <f>COUNTIF('Gap Register'!$B$5:$B$126,A16)</f>
        <v>9</v>
      </c>
      <c r="C16" s="11">
        <f>COUNTIFS('Gap Register'!$B$5:$B$126,$A16,'Gap Register'!$G$5:$G$126,"Met")</f>
        <v>3</v>
      </c>
      <c r="D16" s="11">
        <f>COUNTIFS('Gap Register'!$B$5:$B$126,$A16,'Gap Register'!$G$5:$G$126,"Partially met")</f>
        <v>6</v>
      </c>
      <c r="E16" s="11">
        <f>COUNTIFS('Gap Register'!$B$5:$B$126,$A16,'Gap Register'!$G$5:$G$126,"Not met")</f>
        <v>0</v>
      </c>
      <c r="F16" s="23">
        <f t="shared" si="0"/>
        <v>0.333333333333333</v>
      </c>
      <c r="G16" s="23">
        <f>IFERROR((C16+Legend!$B$34*D16)/B16,0)</f>
        <v>0.666666666666667</v>
      </c>
    </row>
    <row r="17" spans="1:10">
      <c r="A17" s="13" t="s">
        <v>22</v>
      </c>
      <c r="B17" s="14">
        <f>SUM(B9:B16)</f>
        <v>122</v>
      </c>
      <c r="C17" s="14">
        <f>SUM(C9:C16)</f>
        <v>72</v>
      </c>
      <c r="D17" s="14">
        <f>SUM(D9:D16)</f>
        <v>50</v>
      </c>
      <c r="E17" s="14">
        <f>SUM(E9:E16)</f>
        <v>0</v>
      </c>
      <c r="F17" s="25">
        <f t="shared" si="0"/>
        <v>0.590163934426229</v>
      </c>
      <c r="G17" s="25">
        <f>IFERROR((C17+Legend!$B$34*D17)/B17,0)</f>
        <v>0.795081967213115</v>
      </c>
      <c r="I17" s="10" t="s">
        <v>32</v>
      </c>
      <c r="J17" s="10" t="s">
        <v>33</v>
      </c>
    </row>
    <row r="18" spans="1:10">
      <c r="I18" s="16" t="s">
        <v>34</v>
      </c>
      <c r="J18" s="11" t="str">
        <f>COUNTIF('Rules &amp; Reports'!$C$6:$C$38,"Met")&amp;" / "&amp;COUNTA('Rules &amp; Reports'!$C$6:$C$38)</f>
        <v>30 / 33</v>
      </c>
    </row>
    <row r="19" spans="1:10">
      <c r="A19" s="10" t="s">
        <v>35</v>
      </c>
      <c r="B19" s="10" t="s">
        <v>3</v>
      </c>
      <c r="C19" s="10" t="s">
        <v>4</v>
      </c>
      <c r="D19" s="10" t="s">
        <v>5</v>
      </c>
      <c r="E19" s="10" t="s">
        <v>6</v>
      </c>
      <c r="F19" s="10" t="s">
        <v>17</v>
      </c>
      <c r="G19" s="10" t="s">
        <v>7</v>
      </c>
      <c r="I19" s="16" t="s">
        <v>36</v>
      </c>
      <c r="J19" s="11" t="str">
        <f>COUNTIF('Rules &amp; Reports'!$C$42:$C$61,"Met")&amp;" / "&amp;COUNTA('Rules &amp; Reports'!$C$42:$C$61)</f>
        <v>13 / 20</v>
      </c>
    </row>
    <row r="20" spans="1:10">
      <c r="A20" s="15" t="s">
        <v>37</v>
      </c>
      <c r="B20" s="11">
        <f>COUNTIF('Gap Register'!$E$5:$E$126,"M")</f>
        <v>101</v>
      </c>
      <c r="C20" s="11">
        <f>COUNTIFS('Gap Register'!$E$5:$E$126,"M",'Gap Register'!$G$5:$G$126,"Met")</f>
        <v>55</v>
      </c>
      <c r="D20" s="11">
        <f>COUNTIFS('Gap Register'!$E$5:$E$126,"M",'Gap Register'!$G$5:$G$126,"Partially met")</f>
        <v>46</v>
      </c>
      <c r="E20" s="11">
        <f>COUNTIFS('Gap Register'!$E$5:$E$126,"M",'Gap Register'!$G$5:$G$126,"Not met")</f>
        <v>0</v>
      </c>
      <c r="F20" s="23">
        <f>IFERROR(C20/B20,0)</f>
        <v>0.544554455445545</v>
      </c>
      <c r="G20" s="23">
        <f>IFERROR((C20+Legend!$B$34*D20)/B20,0)</f>
        <v>0.772277227722772</v>
      </c>
      <c r="I20" s="16" t="s">
        <v>38</v>
      </c>
      <c r="J20" s="11" t="str">
        <f>COUNTIF('Rules &amp; Reports'!$C$65:$C$81,"Met")&amp;" / "&amp;COUNTA('Rules &amp; Reports'!$C$65:$C$81)</f>
        <v>17 / 17</v>
      </c>
    </row>
    <row r="21" spans="1:10">
      <c r="A21" s="15" t="s">
        <v>39</v>
      </c>
      <c r="B21" s="11">
        <f>COUNTIF('Gap Register'!$E$5:$E$126,"S")</f>
        <v>20</v>
      </c>
      <c r="C21" s="11">
        <f>COUNTIFS('Gap Register'!$E$5:$E$126,"S",'Gap Register'!$G$5:$G$126,"Met")</f>
        <v>16</v>
      </c>
      <c r="D21" s="11">
        <f>COUNTIFS('Gap Register'!$E$5:$E$126,"S",'Gap Register'!$G$5:$G$126,"Partially met")</f>
        <v>4</v>
      </c>
      <c r="E21" s="11">
        <f>COUNTIFS('Gap Register'!$E$5:$E$126,"S",'Gap Register'!$G$5:$G$126,"Not met")</f>
        <v>0</v>
      </c>
      <c r="F21" s="23">
        <f>IFERROR(C21/B21,0)</f>
        <v>0.8</v>
      </c>
      <c r="G21" s="23">
        <f>IFERROR((C21+Legend!$B$34*D21)/B21,0)</f>
        <v>0.9</v>
      </c>
    </row>
    <row r="22" spans="1:10">
      <c r="A22" s="15" t="s">
        <v>40</v>
      </c>
      <c r="B22" s="11">
        <f>COUNTIF('Gap Register'!$E$5:$E$126,"C")</f>
        <v>1</v>
      </c>
      <c r="C22" s="11">
        <f>COUNTIFS('Gap Register'!$E$5:$E$126,"C",'Gap Register'!$G$5:$G$126,"Met")</f>
        <v>1</v>
      </c>
      <c r="D22" s="11">
        <f>COUNTIFS('Gap Register'!$E$5:$E$126,"C",'Gap Register'!$G$5:$G$126,"Partially met")</f>
        <v>0</v>
      </c>
      <c r="E22" s="11">
        <f>COUNTIFS('Gap Register'!$E$5:$E$126,"C",'Gap Register'!$G$5:$G$126,"Not met")</f>
        <v>0</v>
      </c>
      <c r="F22" s="23">
        <f>IFERROR(C22/B22,0)</f>
        <v>1</v>
      </c>
      <c r="G22" s="23">
        <f>IFERROR((C22+Legend!$B$34*D22)/B22,0)</f>
        <v>1</v>
      </c>
      <c r="I22" s="10" t="s">
        <v>41</v>
      </c>
      <c r="J22" s="10" t="s">
        <v>42</v>
      </c>
    </row>
    <row r="23" spans="1:10">
      <c r="I23" s="18" t="s">
        <v>4</v>
      </c>
      <c r="J23" s="11">
        <f>COUNTIF('Deployment Check'!$E$5:$E$20,"Met")</f>
        <v>7</v>
      </c>
    </row>
    <row r="24" spans="1:10">
      <c r="I24" s="26" t="s">
        <v>27</v>
      </c>
      <c r="J24" s="11">
        <f>COUNTIF('Deployment Check'!$E$5:$E$20,"Fixed")</f>
        <v>2</v>
      </c>
    </row>
    <row r="25" ht="36" spans="1:10">
      <c r="A25" s="10" t="s">
        <v>43</v>
      </c>
      <c r="B25" s="10" t="s">
        <v>44</v>
      </c>
      <c r="C25" s="10" t="s">
        <v>45</v>
      </c>
      <c r="D25" s="10" t="s">
        <v>46</v>
      </c>
      <c r="I25" s="21" t="s">
        <v>47</v>
      </c>
      <c r="J25" s="11">
        <f>COUNTIF('Deployment Check'!$E$5:$E$20,"To verify")</f>
        <v>1</v>
      </c>
    </row>
    <row r="26" spans="1:10">
      <c r="A26" s="15" t="s">
        <v>48</v>
      </c>
      <c r="B26" s="11">
        <f>COUNTIF('Remediation Plan'!$B$5:$B$17,A26)</f>
        <v>1</v>
      </c>
      <c r="C26" s="11">
        <f>SUMIF('Remediation Plan'!$B$5:$B$17,A26,'Remediation Plan'!$F$5:$F$17)</f>
        <v>5</v>
      </c>
      <c r="D26" s="11">
        <f>SUMIF('Remediation Plan'!$B$5:$B$17,A26,'Remediation Plan'!$G$5:$G$17)</f>
        <v>5</v>
      </c>
      <c r="I26" s="21" t="s">
        <v>49</v>
      </c>
      <c r="J26" s="11">
        <f>COUNTIF('Deployment Check'!$E$5:$E$20,"Risk")</f>
        <v>1</v>
      </c>
    </row>
    <row r="27" spans="1:10">
      <c r="A27" s="15" t="s">
        <v>50</v>
      </c>
      <c r="B27" s="11">
        <f>COUNTIF('Remediation Plan'!$B$5:$B$17,A27)</f>
        <v>7</v>
      </c>
      <c r="C27" s="11">
        <f>SUMIF('Remediation Plan'!$B$5:$B$17,A27,'Remediation Plan'!$F$5:$F$17)</f>
        <v>50</v>
      </c>
      <c r="D27" s="11">
        <f>SUMIF('Remediation Plan'!$B$5:$B$17,A27,'Remediation Plan'!$G$5:$G$17)</f>
        <v>31</v>
      </c>
      <c r="I27" s="27" t="s">
        <v>51</v>
      </c>
      <c r="J27" s="11">
        <f>COUNTIF('Deployment Check'!$E$5:$E$20,"Not tested")</f>
        <v>1</v>
      </c>
    </row>
    <row r="28" spans="1:10">
      <c r="A28" s="15" t="s">
        <v>52</v>
      </c>
      <c r="B28" s="11">
        <f>COUNTIF('Remediation Plan'!$B$5:$B$17,A28)</f>
        <v>2</v>
      </c>
      <c r="C28" s="11">
        <f>SUMIF('Remediation Plan'!$B$5:$B$17,A28,'Remediation Plan'!$F$5:$F$17)</f>
        <v>25</v>
      </c>
      <c r="D28" s="11">
        <f>SUMIF('Remediation Plan'!$B$5:$B$17,A28,'Remediation Plan'!$G$5:$G$17)</f>
        <v>5</v>
      </c>
      <c r="I28" s="22" t="s">
        <v>6</v>
      </c>
      <c r="J28" s="11">
        <f>COUNTIF('Deployment Check'!$E$5:$E$20,"Not met")</f>
        <v>4</v>
      </c>
    </row>
    <row r="29" spans="1:10">
      <c r="A29" s="15" t="s">
        <v>53</v>
      </c>
      <c r="B29" s="11">
        <f>COUNTIF('Remediation Plan'!$B$5:$B$17,A29)</f>
        <v>1</v>
      </c>
      <c r="C29" s="11">
        <f>SUMIF('Remediation Plan'!$B$5:$B$17,A29,'Remediation Plan'!$F$5:$F$17)</f>
        <v>20</v>
      </c>
      <c r="D29" s="11">
        <f>SUMIF('Remediation Plan'!$B$5:$B$17,A29,'Remediation Plan'!$G$5:$G$17)</f>
        <v>2</v>
      </c>
      <c r="I29" s="24" t="s">
        <v>54</v>
      </c>
      <c r="J29" s="11">
        <f>COUNTIF('Deployment Check'!$E$5:$E$20,"Blocked")</f>
        <v>0</v>
      </c>
    </row>
    <row r="30" spans="1:10">
      <c r="A30" s="15" t="s">
        <v>55</v>
      </c>
      <c r="B30" s="11">
        <f>COUNTIF('Remediation Plan'!$B$5:$B$17,A30)</f>
        <v>2</v>
      </c>
      <c r="C30" s="11">
        <f>SUMIF('Remediation Plan'!$B$5:$B$17,A30,'Remediation Plan'!$F$5:$F$17)</f>
        <v>20</v>
      </c>
      <c r="D30" s="11">
        <f>SUMIF('Remediation Plan'!$B$5:$B$17,A30,'Remediation Plan'!$G$5:$G$17)</f>
        <v>7</v>
      </c>
      <c r="I30" s="16" t="s">
        <v>22</v>
      </c>
      <c r="J30" s="16">
        <f>SUM(J23:J29)</f>
        <v>16</v>
      </c>
    </row>
    <row r="31" spans="1:10">
      <c r="A31" s="13" t="s">
        <v>22</v>
      </c>
      <c r="B31" s="14">
        <f>SUM(B26:B30)</f>
        <v>13</v>
      </c>
      <c r="C31" s="14">
        <f>SUM(C26:C30)</f>
        <v>120</v>
      </c>
      <c r="D31" s="14">
        <f>SUM(D26:D30)</f>
        <v>50</v>
      </c>
    </row>
    <row r="32" spans="1:10">
      <c r="A32" s="19" t="s">
        <v>56</v>
      </c>
    </row>
    <row r="34" spans="1:1">
      <c r="A34" s="3" t="s">
        <v>57</v>
      </c>
    </row>
    <row r="35" ht="40" customHeight="1" spans="1:1">
      <c r="A35" s="4" t="s">
        <v>58</v>
      </c>
    </row>
    <row r="36" ht="40" customHeight="1" spans="1:1">
      <c r="A36" s="4" t="s">
        <v>59</v>
      </c>
    </row>
    <row r="37" ht="40" customHeight="1" spans="1:1">
      <c r="A37" s="4" t="s">
        <v>60</v>
      </c>
    </row>
    <row r="38" ht="40" customHeight="1" spans="1:1">
      <c r="A38" s="4" t="s">
        <v>61</v>
      </c>
    </row>
    <row r="39" ht="40" customHeight="1" spans="1:1">
      <c r="A39" s="4" t="s">
        <v>62</v>
      </c>
    </row>
    <row r="40" ht="40" customHeight="1" spans="1:1">
      <c r="A40" s="4" t="s">
        <v>63</v>
      </c>
    </row>
  </sheetData>
  <mergeCells count="6">
    <mergeCell ref="A35:G35"/>
    <mergeCell ref="A36:G36"/>
    <mergeCell ref="A37:G37"/>
    <mergeCell ref="A38:G38"/>
    <mergeCell ref="A39:G39"/>
    <mergeCell ref="A40:G40"/>
  </mergeCells>
  <conditionalFormatting sqref="G9:G16">
    <cfRule type="dataBar" priority="1">
      <dataBar>
        <cfvo type="num" val="0"/>
        <cfvo type="num" val="1"/>
        <color rgb="FF1F6F66"/>
      </dataBar>
      <extLst>
        <ext xmlns:x14="http://schemas.microsoft.com/office/spreadsheetml/2009/9/main" uri="{B025F937-C7B1-47D3-B67F-A62EFF666E3E}">
          <x14:id>{42079229-680b-4feb-95a9-e8cc805bb078}</x14:id>
        </ext>
      </extLst>
    </cfRule>
  </conditionalFormatting>
  <pageMargins left="0.3" right="0.3" top="0.5" bottom="0.5" header="0.5" footer="0.5"/>
  <pageSetup paperSize="1" orientation="landscape"/>
  <headerFooter/>
  <drawing r:id="rId1"/>
  <extLst>
    <ext xmlns:x14="http://schemas.microsoft.com/office/spreadsheetml/2009/9/main" uri="{78C0D931-6437-407d-A8EE-F0AAD7539E65}">
      <x14:conditionalFormattings>
        <x14:conditionalFormatting xmlns:xm="http://schemas.microsoft.com/office/excel/2006/main">
          <x14:cfRule type="dataBar" id="{42079229-680b-4feb-95a9-e8cc805bb078}">
            <x14:dataBar minLength="10" maxLength="90" negativeBarColorSameAsPositive="1" axisPosition="none">
              <x14:cfvo type="num">
                <xm:f>0</xm:f>
              </x14:cfvo>
              <x14:cfvo type="num">
                <xm:f>1</xm:f>
              </x14:cfvo>
              <x14:axisColor indexed="65"/>
            </x14:dataBar>
          </x14:cfRule>
          <xm:sqref>G9:G16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6"/>
  <sheetViews>
    <sheetView showGridLines="0" workbookViewId="0">
      <pane xSplit="4" ySplit="4" topLeftCell="E5" activePane="bottomRight" state="frozen"/>
      <selection/>
      <selection pane="topRight"/>
      <selection pane="bottomLeft"/>
      <selection pane="bottomRight" activeCell="A1" sqref="A1"/>
    </sheetView>
  </sheetViews>
  <sheetFormatPr defaultColWidth="9" defaultRowHeight="14.4"/>
  <cols>
    <col min="1" max="1" width="12" customWidth="1"/>
    <col min="2" max="2" width="15" customWidth="1"/>
    <col min="3" max="3" width="16" customWidth="1"/>
    <col min="4" max="4" width="52" customWidth="1"/>
    <col min="5" max="5" width="5" customWidth="1"/>
    <col min="6" max="6" width="15" customWidth="1"/>
    <col min="7" max="7" width="12" customWidth="1"/>
    <col min="8" max="8" width="44" customWidth="1"/>
    <col min="9" max="9" width="36" customWidth="1"/>
    <col min="10" max="10" width="34" customWidth="1"/>
    <col min="11" max="11" width="9" customWidth="1"/>
    <col min="12" max="12" width="17" customWidth="1"/>
    <col min="13" max="13" width="11" customWidth="1"/>
    <col min="14" max="15" width="20" customWidth="1"/>
  </cols>
  <sheetData>
    <row r="1" ht="19.2" spans="1:15">
      <c r="A1" s="1" t="s">
        <v>64</v>
      </c>
    </row>
    <row r="2" spans="1:15">
      <c r="A2" s="2" t="s">
        <v>65</v>
      </c>
    </row>
    <row r="4" ht="24" spans="1:15">
      <c r="A4" s="10" t="s">
        <v>66</v>
      </c>
      <c r="B4" s="5" t="s">
        <v>16</v>
      </c>
      <c r="C4" s="5" t="s">
        <v>67</v>
      </c>
      <c r="D4" s="5" t="s">
        <v>68</v>
      </c>
      <c r="E4" s="10" t="s">
        <v>69</v>
      </c>
      <c r="F4" s="5" t="s">
        <v>70</v>
      </c>
      <c r="G4" s="10" t="s">
        <v>71</v>
      </c>
      <c r="H4" s="5" t="s">
        <v>72</v>
      </c>
      <c r="I4" s="5" t="s">
        <v>73</v>
      </c>
      <c r="J4" s="5" t="s">
        <v>74</v>
      </c>
      <c r="K4" s="10" t="s">
        <v>75</v>
      </c>
      <c r="L4" s="5" t="s">
        <v>76</v>
      </c>
      <c r="M4" s="5" t="s">
        <v>77</v>
      </c>
      <c r="N4" s="5" t="s">
        <v>78</v>
      </c>
      <c r="O4" s="5" t="s">
        <v>79</v>
      </c>
    </row>
    <row r="5" ht="57" spans="1:15">
      <c r="A5" s="16" t="s">
        <v>80</v>
      </c>
      <c r="B5" s="6" t="s">
        <v>19</v>
      </c>
      <c r="C5" s="6" t="s">
        <v>81</v>
      </c>
      <c r="D5" s="6" t="s">
        <v>82</v>
      </c>
      <c r="E5" s="11" t="s">
        <v>83</v>
      </c>
      <c r="F5" s="6" t="s">
        <v>84</v>
      </c>
      <c r="G5" s="11" t="s">
        <v>4</v>
      </c>
      <c r="H5" s="6" t="s">
        <v>85</v>
      </c>
      <c r="I5" s="6" t="s">
        <v>86</v>
      </c>
      <c r="J5" s="6" t="s">
        <v>86</v>
      </c>
      <c r="K5" s="11" t="s">
        <v>87</v>
      </c>
      <c r="L5" s="6" t="str">
        <f>IF(K5="","",INDEX('Remediation Plan'!$B$5:$B$17,MATCH(K5,'Remediation Plan'!$A$5:$A$17,0)))</f>
        <v/>
      </c>
      <c r="M5" s="6" t="s">
        <v>86</v>
      </c>
      <c r="N5" s="6" t="s">
        <v>86</v>
      </c>
      <c r="O5" s="6" t="s">
        <v>88</v>
      </c>
    </row>
    <row r="6" ht="45.6" spans="1:15">
      <c r="A6" s="16" t="s">
        <v>89</v>
      </c>
      <c r="B6" s="6" t="s">
        <v>19</v>
      </c>
      <c r="C6" s="6" t="s">
        <v>81</v>
      </c>
      <c r="D6" s="6" t="s">
        <v>90</v>
      </c>
      <c r="E6" s="11" t="s">
        <v>83</v>
      </c>
      <c r="F6" s="6" t="s">
        <v>84</v>
      </c>
      <c r="G6" s="11" t="s">
        <v>4</v>
      </c>
      <c r="H6" s="6" t="s">
        <v>91</v>
      </c>
      <c r="I6" s="6" t="s">
        <v>86</v>
      </c>
      <c r="J6" s="6" t="s">
        <v>86</v>
      </c>
      <c r="K6" s="11" t="s">
        <v>87</v>
      </c>
      <c r="L6" s="6" t="str">
        <f>IF(K6="","",INDEX('Remediation Plan'!$B$5:$B$17,MATCH(K6,'Remediation Plan'!$A$5:$A$17,0)))</f>
        <v/>
      </c>
      <c r="M6" s="6" t="s">
        <v>86</v>
      </c>
      <c r="N6" s="6" t="s">
        <v>86</v>
      </c>
      <c r="O6" s="6" t="s">
        <v>92</v>
      </c>
    </row>
    <row r="7" ht="22.8" spans="1:15">
      <c r="A7" s="16" t="s">
        <v>93</v>
      </c>
      <c r="B7" s="6" t="s">
        <v>19</v>
      </c>
      <c r="C7" s="6" t="s">
        <v>81</v>
      </c>
      <c r="D7" s="6" t="s">
        <v>94</v>
      </c>
      <c r="E7" s="11" t="s">
        <v>83</v>
      </c>
      <c r="F7" s="6" t="s">
        <v>84</v>
      </c>
      <c r="G7" s="11" t="s">
        <v>4</v>
      </c>
      <c r="H7" s="6" t="s">
        <v>95</v>
      </c>
      <c r="I7" s="6" t="s">
        <v>96</v>
      </c>
      <c r="J7" s="6" t="s">
        <v>97</v>
      </c>
      <c r="K7" s="11" t="s">
        <v>98</v>
      </c>
      <c r="L7" s="6" t="str">
        <f>IF(K7="","",INDEX('Remediation Plan'!$B$5:$B$17,MATCH(K7,'Remediation Plan'!$A$5:$A$17,0)))</f>
        <v>Wave 0 — Fix now</v>
      </c>
      <c r="M7" s="6" t="s">
        <v>86</v>
      </c>
      <c r="N7" s="6" t="s">
        <v>86</v>
      </c>
      <c r="O7" s="6" t="s">
        <v>99</v>
      </c>
    </row>
    <row r="8" ht="22.8" spans="1:15">
      <c r="A8" s="16" t="s">
        <v>100</v>
      </c>
      <c r="B8" s="6" t="s">
        <v>19</v>
      </c>
      <c r="C8" s="6" t="s">
        <v>81</v>
      </c>
      <c r="D8" s="6" t="s">
        <v>101</v>
      </c>
      <c r="E8" s="11" t="s">
        <v>83</v>
      </c>
      <c r="F8" s="6" t="s">
        <v>84</v>
      </c>
      <c r="G8" s="11" t="s">
        <v>5</v>
      </c>
      <c r="H8" s="6" t="s">
        <v>102</v>
      </c>
      <c r="I8" s="6" t="s">
        <v>103</v>
      </c>
      <c r="J8" s="6" t="s">
        <v>104</v>
      </c>
      <c r="K8" s="11" t="s">
        <v>98</v>
      </c>
      <c r="L8" s="6" t="str">
        <f>IF(K8="","",INDEX('Remediation Plan'!$B$5:$B$17,MATCH(K8,'Remediation Plan'!$A$5:$A$17,0)))</f>
        <v>Wave 0 — Fix now</v>
      </c>
      <c r="M8" s="6" t="s">
        <v>86</v>
      </c>
      <c r="N8" s="6" t="s">
        <v>86</v>
      </c>
      <c r="O8" s="6" t="s">
        <v>105</v>
      </c>
    </row>
    <row r="9" ht="45.6" spans="1:15">
      <c r="A9" s="16" t="s">
        <v>106</v>
      </c>
      <c r="B9" s="6" t="s">
        <v>19</v>
      </c>
      <c r="C9" s="6" t="s">
        <v>107</v>
      </c>
      <c r="D9" s="6" t="s">
        <v>108</v>
      </c>
      <c r="E9" s="11" t="s">
        <v>83</v>
      </c>
      <c r="F9" s="6" t="s">
        <v>84</v>
      </c>
      <c r="G9" s="11" t="s">
        <v>4</v>
      </c>
      <c r="H9" s="6" t="s">
        <v>109</v>
      </c>
      <c r="I9" s="6" t="s">
        <v>86</v>
      </c>
      <c r="J9" s="6" t="s">
        <v>86</v>
      </c>
      <c r="K9" s="11" t="s">
        <v>87</v>
      </c>
      <c r="L9" s="6" t="str">
        <f>IF(K9="","",INDEX('Remediation Plan'!$B$5:$B$17,MATCH(K9,'Remediation Plan'!$A$5:$A$17,0)))</f>
        <v/>
      </c>
      <c r="M9" s="6" t="s">
        <v>86</v>
      </c>
      <c r="N9" s="6" t="s">
        <v>86</v>
      </c>
      <c r="O9" s="6" t="s">
        <v>110</v>
      </c>
    </row>
    <row r="10" ht="34.2" spans="1:15">
      <c r="A10" s="16" t="s">
        <v>111</v>
      </c>
      <c r="B10" s="6" t="s">
        <v>19</v>
      </c>
      <c r="C10" s="6" t="s">
        <v>107</v>
      </c>
      <c r="D10" s="6" t="s">
        <v>112</v>
      </c>
      <c r="E10" s="11" t="s">
        <v>83</v>
      </c>
      <c r="F10" s="6" t="s">
        <v>84</v>
      </c>
      <c r="G10" s="11" t="s">
        <v>4</v>
      </c>
      <c r="H10" s="6" t="s">
        <v>113</v>
      </c>
      <c r="I10" s="6" t="s">
        <v>86</v>
      </c>
      <c r="J10" s="6" t="s">
        <v>86</v>
      </c>
      <c r="K10" s="11" t="s">
        <v>87</v>
      </c>
      <c r="L10" s="6" t="str">
        <f>IF(K10="","",INDEX('Remediation Plan'!$B$5:$B$17,MATCH(K10,'Remediation Plan'!$A$5:$A$17,0)))</f>
        <v/>
      </c>
      <c r="M10" s="6" t="s">
        <v>114</v>
      </c>
      <c r="N10" s="6" t="s">
        <v>115</v>
      </c>
      <c r="O10" s="6" t="s">
        <v>116</v>
      </c>
    </row>
    <row r="11" ht="34.2" spans="1:15">
      <c r="A11" s="16" t="s">
        <v>117</v>
      </c>
      <c r="B11" s="6" t="s">
        <v>19</v>
      </c>
      <c r="C11" s="6" t="s">
        <v>107</v>
      </c>
      <c r="D11" s="6" t="s">
        <v>118</v>
      </c>
      <c r="E11" s="11" t="s">
        <v>83</v>
      </c>
      <c r="F11" s="6" t="s">
        <v>119</v>
      </c>
      <c r="G11" s="11" t="s">
        <v>4</v>
      </c>
      <c r="H11" s="6" t="s">
        <v>120</v>
      </c>
      <c r="I11" s="6" t="s">
        <v>86</v>
      </c>
      <c r="J11" s="6" t="s">
        <v>86</v>
      </c>
      <c r="K11" s="11" t="s">
        <v>87</v>
      </c>
      <c r="L11" s="6" t="str">
        <f>IF(K11="","",INDEX('Remediation Plan'!$B$5:$B$17,MATCH(K11,'Remediation Plan'!$A$5:$A$17,0)))</f>
        <v/>
      </c>
      <c r="M11" s="6" t="s">
        <v>86</v>
      </c>
      <c r="N11" s="6" t="s">
        <v>86</v>
      </c>
      <c r="O11" s="6" t="s">
        <v>121</v>
      </c>
    </row>
    <row r="12" ht="34.2" spans="1:15">
      <c r="A12" s="16" t="s">
        <v>122</v>
      </c>
      <c r="B12" s="6" t="s">
        <v>19</v>
      </c>
      <c r="C12" s="6" t="s">
        <v>107</v>
      </c>
      <c r="D12" s="6" t="s">
        <v>123</v>
      </c>
      <c r="E12" s="11" t="s">
        <v>83</v>
      </c>
      <c r="F12" s="6" t="s">
        <v>84</v>
      </c>
      <c r="G12" s="11" t="s">
        <v>5</v>
      </c>
      <c r="H12" s="6" t="s">
        <v>124</v>
      </c>
      <c r="I12" s="6" t="s">
        <v>125</v>
      </c>
      <c r="J12" s="6" t="s">
        <v>126</v>
      </c>
      <c r="K12" s="11" t="s">
        <v>127</v>
      </c>
      <c r="L12" s="6" t="str">
        <f>IF(K12="","",INDEX('Remediation Plan'!$B$5:$B$17,MATCH(K12,'Remediation Plan'!$A$5:$A$17,0)))</f>
        <v>Wave 1 — Align</v>
      </c>
      <c r="M12" s="6" t="s">
        <v>86</v>
      </c>
      <c r="N12" s="6" t="s">
        <v>86</v>
      </c>
      <c r="O12" s="6" t="s">
        <v>128</v>
      </c>
    </row>
    <row r="13" ht="45.6" spans="1:15">
      <c r="A13" s="16" t="s">
        <v>129</v>
      </c>
      <c r="B13" s="6" t="s">
        <v>19</v>
      </c>
      <c r="C13" s="6" t="s">
        <v>130</v>
      </c>
      <c r="D13" s="6" t="s">
        <v>131</v>
      </c>
      <c r="E13" s="11" t="s">
        <v>83</v>
      </c>
      <c r="F13" s="6" t="s">
        <v>84</v>
      </c>
      <c r="G13" s="11" t="s">
        <v>4</v>
      </c>
      <c r="H13" s="6" t="s">
        <v>132</v>
      </c>
      <c r="I13" s="6" t="s">
        <v>133</v>
      </c>
      <c r="J13" s="6" t="s">
        <v>134</v>
      </c>
      <c r="K13" s="11" t="s">
        <v>98</v>
      </c>
      <c r="L13" s="6" t="str">
        <f>IF(K13="","",INDEX('Remediation Plan'!$B$5:$B$17,MATCH(K13,'Remediation Plan'!$A$5:$A$17,0)))</f>
        <v>Wave 0 — Fix now</v>
      </c>
      <c r="M13" s="6" t="s">
        <v>86</v>
      </c>
      <c r="N13" s="6" t="s">
        <v>86</v>
      </c>
      <c r="O13" s="6" t="s">
        <v>135</v>
      </c>
    </row>
    <row r="14" ht="22.8" spans="1:15">
      <c r="A14" s="16" t="s">
        <v>136</v>
      </c>
      <c r="B14" s="6" t="s">
        <v>19</v>
      </c>
      <c r="C14" s="6" t="s">
        <v>130</v>
      </c>
      <c r="D14" s="6" t="s">
        <v>137</v>
      </c>
      <c r="E14" s="11" t="s">
        <v>83</v>
      </c>
      <c r="F14" s="6" t="s">
        <v>84</v>
      </c>
      <c r="G14" s="11" t="s">
        <v>4</v>
      </c>
      <c r="H14" s="6" t="s">
        <v>138</v>
      </c>
      <c r="I14" s="6" t="s">
        <v>86</v>
      </c>
      <c r="J14" s="6" t="s">
        <v>86</v>
      </c>
      <c r="K14" s="11" t="s">
        <v>87</v>
      </c>
      <c r="L14" s="6" t="str">
        <f>IF(K14="","",INDEX('Remediation Plan'!$B$5:$B$17,MATCH(K14,'Remediation Plan'!$A$5:$A$17,0)))</f>
        <v/>
      </c>
      <c r="M14" s="6" t="s">
        <v>86</v>
      </c>
      <c r="N14" s="6" t="s">
        <v>86</v>
      </c>
      <c r="O14" s="6" t="s">
        <v>139</v>
      </c>
    </row>
    <row r="15" ht="22.8" spans="1:15">
      <c r="A15" s="16" t="s">
        <v>140</v>
      </c>
      <c r="B15" s="6" t="s">
        <v>19</v>
      </c>
      <c r="C15" s="6" t="s">
        <v>130</v>
      </c>
      <c r="D15" s="6" t="s">
        <v>141</v>
      </c>
      <c r="E15" s="11" t="s">
        <v>142</v>
      </c>
      <c r="F15" s="6" t="s">
        <v>84</v>
      </c>
      <c r="G15" s="11" t="s">
        <v>4</v>
      </c>
      <c r="H15" s="6" t="s">
        <v>143</v>
      </c>
      <c r="I15" s="6" t="s">
        <v>86</v>
      </c>
      <c r="J15" s="6" t="s">
        <v>86</v>
      </c>
      <c r="K15" s="11" t="s">
        <v>87</v>
      </c>
      <c r="L15" s="6" t="str">
        <f>IF(K15="","",INDEX('Remediation Plan'!$B$5:$B$17,MATCH(K15,'Remediation Plan'!$A$5:$A$17,0)))</f>
        <v/>
      </c>
      <c r="M15" s="6" t="s">
        <v>86</v>
      </c>
      <c r="N15" s="6" t="s">
        <v>86</v>
      </c>
      <c r="O15" s="6" t="s">
        <v>86</v>
      </c>
    </row>
    <row r="16" ht="45.6" spans="1:15">
      <c r="A16" s="16" t="s">
        <v>144</v>
      </c>
      <c r="B16" s="6" t="s">
        <v>19</v>
      </c>
      <c r="C16" s="6" t="s">
        <v>145</v>
      </c>
      <c r="D16" s="6" t="s">
        <v>146</v>
      </c>
      <c r="E16" s="11" t="s">
        <v>83</v>
      </c>
      <c r="F16" s="6" t="s">
        <v>147</v>
      </c>
      <c r="G16" s="11" t="s">
        <v>5</v>
      </c>
      <c r="H16" s="6" t="s">
        <v>148</v>
      </c>
      <c r="I16" s="6" t="s">
        <v>149</v>
      </c>
      <c r="J16" s="6" t="s">
        <v>150</v>
      </c>
      <c r="K16" s="11" t="s">
        <v>151</v>
      </c>
      <c r="L16" s="6" t="str">
        <f>IF(K16="","",INDEX('Remediation Plan'!$B$5:$B$17,MATCH(K16,'Remediation Plan'!$A$5:$A$17,0)))</f>
        <v>Wave 1 — Align</v>
      </c>
      <c r="M16" s="6" t="s">
        <v>86</v>
      </c>
      <c r="N16" s="6" t="s">
        <v>86</v>
      </c>
      <c r="O16" s="6" t="s">
        <v>152</v>
      </c>
    </row>
    <row r="17" ht="34.2" spans="1:15">
      <c r="A17" s="16" t="s">
        <v>153</v>
      </c>
      <c r="B17" s="6" t="s">
        <v>19</v>
      </c>
      <c r="C17" s="6" t="s">
        <v>145</v>
      </c>
      <c r="D17" s="6" t="s">
        <v>154</v>
      </c>
      <c r="E17" s="11" t="s">
        <v>83</v>
      </c>
      <c r="F17" s="6" t="s">
        <v>147</v>
      </c>
      <c r="G17" s="11" t="s">
        <v>5</v>
      </c>
      <c r="H17" s="6" t="s">
        <v>155</v>
      </c>
      <c r="I17" s="6" t="s">
        <v>156</v>
      </c>
      <c r="J17" s="6" t="s">
        <v>157</v>
      </c>
      <c r="K17" s="11" t="s">
        <v>151</v>
      </c>
      <c r="L17" s="6" t="str">
        <f>IF(K17="","",INDEX('Remediation Plan'!$B$5:$B$17,MATCH(K17,'Remediation Plan'!$A$5:$A$17,0)))</f>
        <v>Wave 1 — Align</v>
      </c>
      <c r="M17" s="6" t="s">
        <v>86</v>
      </c>
      <c r="N17" s="6" t="s">
        <v>86</v>
      </c>
      <c r="O17" s="6" t="s">
        <v>158</v>
      </c>
    </row>
    <row r="18" ht="22.8" spans="1:15">
      <c r="A18" s="16" t="s">
        <v>159</v>
      </c>
      <c r="B18" s="6" t="s">
        <v>19</v>
      </c>
      <c r="C18" s="6" t="s">
        <v>145</v>
      </c>
      <c r="D18" s="6" t="s">
        <v>160</v>
      </c>
      <c r="E18" s="11" t="s">
        <v>83</v>
      </c>
      <c r="F18" s="6" t="s">
        <v>147</v>
      </c>
      <c r="G18" s="11" t="s">
        <v>4</v>
      </c>
      <c r="H18" s="6" t="s">
        <v>161</v>
      </c>
      <c r="I18" s="6" t="s">
        <v>86</v>
      </c>
      <c r="J18" s="6" t="s">
        <v>86</v>
      </c>
      <c r="K18" s="11" t="s">
        <v>87</v>
      </c>
      <c r="L18" s="6" t="str">
        <f>IF(K18="","",INDEX('Remediation Plan'!$B$5:$B$17,MATCH(K18,'Remediation Plan'!$A$5:$A$17,0)))</f>
        <v/>
      </c>
      <c r="M18" s="6" t="s">
        <v>86</v>
      </c>
      <c r="N18" s="6" t="s">
        <v>86</v>
      </c>
      <c r="O18" s="6" t="s">
        <v>162</v>
      </c>
    </row>
    <row r="19" ht="57" spans="1:15">
      <c r="A19" s="16" t="s">
        <v>163</v>
      </c>
      <c r="B19" s="6" t="s">
        <v>19</v>
      </c>
      <c r="C19" s="6" t="s">
        <v>164</v>
      </c>
      <c r="D19" s="6" t="s">
        <v>165</v>
      </c>
      <c r="E19" s="11" t="s">
        <v>83</v>
      </c>
      <c r="F19" s="6" t="s">
        <v>166</v>
      </c>
      <c r="G19" s="11" t="s">
        <v>5</v>
      </c>
      <c r="H19" s="6" t="s">
        <v>167</v>
      </c>
      <c r="I19" s="6" t="s">
        <v>168</v>
      </c>
      <c r="J19" s="6" t="s">
        <v>169</v>
      </c>
      <c r="K19" s="11" t="s">
        <v>170</v>
      </c>
      <c r="L19" s="6" t="str">
        <f>IF(K19="","",INDEX('Remediation Plan'!$B$5:$B$17,MATCH(K19,'Remediation Plan'!$A$5:$A$17,0)))</f>
        <v>Wave 1 — Align</v>
      </c>
      <c r="M19" s="6" t="s">
        <v>86</v>
      </c>
      <c r="N19" s="6" t="s">
        <v>86</v>
      </c>
      <c r="O19" s="6" t="s">
        <v>171</v>
      </c>
    </row>
    <row r="20" ht="22.8" spans="1:15">
      <c r="A20" s="16" t="s">
        <v>172</v>
      </c>
      <c r="B20" s="6" t="s">
        <v>19</v>
      </c>
      <c r="C20" s="6" t="s">
        <v>164</v>
      </c>
      <c r="D20" s="6" t="s">
        <v>173</v>
      </c>
      <c r="E20" s="11" t="s">
        <v>142</v>
      </c>
      <c r="F20" s="6" t="s">
        <v>166</v>
      </c>
      <c r="G20" s="11" t="s">
        <v>5</v>
      </c>
      <c r="H20" s="6" t="s">
        <v>174</v>
      </c>
      <c r="I20" s="6" t="s">
        <v>175</v>
      </c>
      <c r="J20" s="6" t="s">
        <v>176</v>
      </c>
      <c r="K20" s="11" t="s">
        <v>170</v>
      </c>
      <c r="L20" s="6" t="str">
        <f>IF(K20="","",INDEX('Remediation Plan'!$B$5:$B$17,MATCH(K20,'Remediation Plan'!$A$5:$A$17,0)))</f>
        <v>Wave 1 — Align</v>
      </c>
      <c r="M20" s="6" t="s">
        <v>86</v>
      </c>
      <c r="N20" s="6" t="s">
        <v>86</v>
      </c>
      <c r="O20" s="6" t="s">
        <v>177</v>
      </c>
    </row>
    <row r="21" ht="34.2" spans="1:15">
      <c r="A21" s="16" t="s">
        <v>178</v>
      </c>
      <c r="B21" s="6" t="s">
        <v>19</v>
      </c>
      <c r="C21" s="6" t="s">
        <v>164</v>
      </c>
      <c r="D21" s="6" t="s">
        <v>179</v>
      </c>
      <c r="E21" s="11" t="s">
        <v>83</v>
      </c>
      <c r="F21" s="6" t="s">
        <v>166</v>
      </c>
      <c r="G21" s="11" t="s">
        <v>5</v>
      </c>
      <c r="H21" s="6" t="s">
        <v>180</v>
      </c>
      <c r="I21" s="6" t="s">
        <v>181</v>
      </c>
      <c r="J21" s="6" t="s">
        <v>182</v>
      </c>
      <c r="K21" s="11" t="s">
        <v>170</v>
      </c>
      <c r="L21" s="6" t="str">
        <f>IF(K21="","",INDEX('Remediation Plan'!$B$5:$B$17,MATCH(K21,'Remediation Plan'!$A$5:$A$17,0)))</f>
        <v>Wave 1 — Align</v>
      </c>
      <c r="M21" s="6" t="s">
        <v>86</v>
      </c>
      <c r="N21" s="6" t="s">
        <v>86</v>
      </c>
      <c r="O21" s="6" t="s">
        <v>183</v>
      </c>
    </row>
    <row r="22" ht="34.2" spans="1:15">
      <c r="A22" s="16" t="s">
        <v>184</v>
      </c>
      <c r="B22" s="6" t="s">
        <v>19</v>
      </c>
      <c r="C22" s="6" t="s">
        <v>185</v>
      </c>
      <c r="D22" s="6" t="s">
        <v>186</v>
      </c>
      <c r="E22" s="11" t="s">
        <v>83</v>
      </c>
      <c r="F22" s="6" t="s">
        <v>187</v>
      </c>
      <c r="G22" s="11" t="s">
        <v>5</v>
      </c>
      <c r="H22" s="6" t="s">
        <v>188</v>
      </c>
      <c r="I22" s="6" t="s">
        <v>189</v>
      </c>
      <c r="J22" s="6" t="s">
        <v>190</v>
      </c>
      <c r="K22" s="11" t="s">
        <v>170</v>
      </c>
      <c r="L22" s="6" t="str">
        <f>IF(K22="","",INDEX('Remediation Plan'!$B$5:$B$17,MATCH(K22,'Remediation Plan'!$A$5:$A$17,0)))</f>
        <v>Wave 1 — Align</v>
      </c>
      <c r="M22" s="6" t="s">
        <v>86</v>
      </c>
      <c r="N22" s="6" t="s">
        <v>86</v>
      </c>
      <c r="O22" s="6" t="s">
        <v>191</v>
      </c>
    </row>
    <row r="23" ht="34.2" spans="1:15">
      <c r="A23" s="16" t="s">
        <v>192</v>
      </c>
      <c r="B23" s="6" t="s">
        <v>19</v>
      </c>
      <c r="C23" s="6" t="s">
        <v>185</v>
      </c>
      <c r="D23" s="6" t="s">
        <v>193</v>
      </c>
      <c r="E23" s="11" t="s">
        <v>83</v>
      </c>
      <c r="F23" s="6" t="s">
        <v>187</v>
      </c>
      <c r="G23" s="11" t="s">
        <v>5</v>
      </c>
      <c r="H23" s="6" t="s">
        <v>194</v>
      </c>
      <c r="I23" s="6" t="s">
        <v>195</v>
      </c>
      <c r="J23" s="6" t="s">
        <v>196</v>
      </c>
      <c r="K23" s="11" t="s">
        <v>197</v>
      </c>
      <c r="L23" s="6" t="str">
        <f>IF(K23="","",INDEX('Remediation Plan'!$B$5:$B$17,MATCH(K23,'Remediation Plan'!$A$5:$A$17,0)))</f>
        <v>Wave 1 — Align</v>
      </c>
      <c r="M23" s="6" t="s">
        <v>86</v>
      </c>
      <c r="N23" s="6" t="s">
        <v>86</v>
      </c>
      <c r="O23" s="6" t="s">
        <v>198</v>
      </c>
    </row>
    <row r="24" ht="45.6" spans="1:15">
      <c r="A24" s="16" t="s">
        <v>199</v>
      </c>
      <c r="B24" s="6" t="s">
        <v>19</v>
      </c>
      <c r="C24" s="6" t="s">
        <v>185</v>
      </c>
      <c r="D24" s="6" t="s">
        <v>200</v>
      </c>
      <c r="E24" s="11" t="s">
        <v>83</v>
      </c>
      <c r="F24" s="6" t="s">
        <v>187</v>
      </c>
      <c r="G24" s="11" t="s">
        <v>5</v>
      </c>
      <c r="H24" s="6" t="s">
        <v>201</v>
      </c>
      <c r="I24" s="6" t="s">
        <v>202</v>
      </c>
      <c r="J24" s="6" t="s">
        <v>203</v>
      </c>
      <c r="K24" s="11" t="s">
        <v>170</v>
      </c>
      <c r="L24" s="6" t="str">
        <f>IF(K24="","",INDEX('Remediation Plan'!$B$5:$B$17,MATCH(K24,'Remediation Plan'!$A$5:$A$17,0)))</f>
        <v>Wave 1 — Align</v>
      </c>
      <c r="M24" s="6" t="s">
        <v>86</v>
      </c>
      <c r="N24" s="6" t="s">
        <v>86</v>
      </c>
      <c r="O24" s="6" t="s">
        <v>204</v>
      </c>
    </row>
    <row r="25" ht="34.2" spans="1:15">
      <c r="A25" s="16" t="s">
        <v>205</v>
      </c>
      <c r="B25" s="6" t="s">
        <v>21</v>
      </c>
      <c r="C25" s="6" t="s">
        <v>206</v>
      </c>
      <c r="D25" s="6" t="s">
        <v>207</v>
      </c>
      <c r="E25" s="11" t="s">
        <v>83</v>
      </c>
      <c r="F25" s="6" t="s">
        <v>208</v>
      </c>
      <c r="G25" s="11" t="s">
        <v>4</v>
      </c>
      <c r="H25" s="6" t="s">
        <v>209</v>
      </c>
      <c r="I25" s="6" t="s">
        <v>86</v>
      </c>
      <c r="J25" s="6" t="s">
        <v>86</v>
      </c>
      <c r="K25" s="11" t="s">
        <v>87</v>
      </c>
      <c r="L25" s="6" t="str">
        <f>IF(K25="","",INDEX('Remediation Plan'!$B$5:$B$17,MATCH(K25,'Remediation Plan'!$A$5:$A$17,0)))</f>
        <v/>
      </c>
      <c r="M25" s="6" t="s">
        <v>86</v>
      </c>
      <c r="N25" s="6" t="s">
        <v>86</v>
      </c>
      <c r="O25" s="6" t="s">
        <v>210</v>
      </c>
    </row>
    <row r="26" ht="57" spans="1:15">
      <c r="A26" s="16" t="s">
        <v>211</v>
      </c>
      <c r="B26" s="6" t="s">
        <v>21</v>
      </c>
      <c r="C26" s="6" t="s">
        <v>206</v>
      </c>
      <c r="D26" s="6" t="s">
        <v>212</v>
      </c>
      <c r="E26" s="11" t="s">
        <v>83</v>
      </c>
      <c r="F26" s="6" t="s">
        <v>208</v>
      </c>
      <c r="G26" s="11" t="s">
        <v>4</v>
      </c>
      <c r="H26" s="6" t="s">
        <v>213</v>
      </c>
      <c r="I26" s="6" t="s">
        <v>86</v>
      </c>
      <c r="J26" s="6" t="s">
        <v>86</v>
      </c>
      <c r="K26" s="11" t="s">
        <v>87</v>
      </c>
      <c r="L26" s="6" t="str">
        <f>IF(K26="","",INDEX('Remediation Plan'!$B$5:$B$17,MATCH(K26,'Remediation Plan'!$A$5:$A$17,0)))</f>
        <v/>
      </c>
      <c r="M26" s="6" t="s">
        <v>214</v>
      </c>
      <c r="N26" s="6" t="s">
        <v>215</v>
      </c>
      <c r="O26" s="6" t="s">
        <v>216</v>
      </c>
    </row>
    <row r="27" ht="22.8" spans="1:15">
      <c r="A27" s="16" t="s">
        <v>217</v>
      </c>
      <c r="B27" s="6" t="s">
        <v>21</v>
      </c>
      <c r="C27" s="6" t="s">
        <v>206</v>
      </c>
      <c r="D27" s="6" t="s">
        <v>218</v>
      </c>
      <c r="E27" s="11" t="s">
        <v>83</v>
      </c>
      <c r="F27" s="6" t="s">
        <v>208</v>
      </c>
      <c r="G27" s="11" t="s">
        <v>4</v>
      </c>
      <c r="H27" s="6" t="s">
        <v>219</v>
      </c>
      <c r="I27" s="6" t="s">
        <v>220</v>
      </c>
      <c r="J27" s="6" t="s">
        <v>221</v>
      </c>
      <c r="K27" s="11" t="s">
        <v>127</v>
      </c>
      <c r="L27" s="6" t="str">
        <f>IF(K27="","",INDEX('Remediation Plan'!$B$5:$B$17,MATCH(K27,'Remediation Plan'!$A$5:$A$17,0)))</f>
        <v>Wave 1 — Align</v>
      </c>
      <c r="M27" s="6" t="s">
        <v>222</v>
      </c>
      <c r="N27" s="6" t="s">
        <v>223</v>
      </c>
      <c r="O27" s="6" t="s">
        <v>224</v>
      </c>
    </row>
    <row r="28" ht="34.2" spans="1:15">
      <c r="A28" s="16" t="s">
        <v>225</v>
      </c>
      <c r="B28" s="6" t="s">
        <v>21</v>
      </c>
      <c r="C28" s="6" t="s">
        <v>206</v>
      </c>
      <c r="D28" s="6" t="s">
        <v>226</v>
      </c>
      <c r="E28" s="11" t="s">
        <v>83</v>
      </c>
      <c r="F28" s="6" t="s">
        <v>208</v>
      </c>
      <c r="G28" s="11" t="s">
        <v>5</v>
      </c>
      <c r="H28" s="6" t="s">
        <v>227</v>
      </c>
      <c r="I28" s="6" t="s">
        <v>228</v>
      </c>
      <c r="J28" s="6" t="s">
        <v>229</v>
      </c>
      <c r="K28" s="11" t="s">
        <v>127</v>
      </c>
      <c r="L28" s="6" t="str">
        <f>IF(K28="","",INDEX('Remediation Plan'!$B$5:$B$17,MATCH(K28,'Remediation Plan'!$A$5:$A$17,0)))</f>
        <v>Wave 1 — Align</v>
      </c>
      <c r="M28" s="6" t="s">
        <v>230</v>
      </c>
      <c r="N28" s="6" t="s">
        <v>231</v>
      </c>
      <c r="O28" s="6" t="s">
        <v>232</v>
      </c>
    </row>
    <row r="29" ht="57" spans="1:15">
      <c r="A29" s="16" t="s">
        <v>233</v>
      </c>
      <c r="B29" s="6" t="s">
        <v>21</v>
      </c>
      <c r="C29" s="6" t="s">
        <v>206</v>
      </c>
      <c r="D29" s="6" t="s">
        <v>234</v>
      </c>
      <c r="E29" s="11" t="s">
        <v>83</v>
      </c>
      <c r="F29" s="6" t="s">
        <v>208</v>
      </c>
      <c r="G29" s="11" t="s">
        <v>4</v>
      </c>
      <c r="H29" s="6" t="s">
        <v>235</v>
      </c>
      <c r="I29" s="6" t="s">
        <v>86</v>
      </c>
      <c r="J29" s="6" t="s">
        <v>86</v>
      </c>
      <c r="K29" s="11" t="s">
        <v>127</v>
      </c>
      <c r="L29" s="6" t="str">
        <f>IF(K29="","",INDEX('Remediation Plan'!$B$5:$B$17,MATCH(K29,'Remediation Plan'!$A$5:$A$17,0)))</f>
        <v>Wave 1 — Align</v>
      </c>
      <c r="M29" s="6" t="s">
        <v>86</v>
      </c>
      <c r="N29" s="6" t="s">
        <v>86</v>
      </c>
      <c r="O29" s="6" t="s">
        <v>236</v>
      </c>
    </row>
    <row r="30" ht="34.2" spans="1:15">
      <c r="A30" s="16" t="s">
        <v>237</v>
      </c>
      <c r="B30" s="6" t="s">
        <v>21</v>
      </c>
      <c r="C30" s="6" t="s">
        <v>206</v>
      </c>
      <c r="D30" s="6" t="s">
        <v>238</v>
      </c>
      <c r="E30" s="11" t="s">
        <v>83</v>
      </c>
      <c r="F30" s="6" t="s">
        <v>208</v>
      </c>
      <c r="G30" s="11" t="s">
        <v>5</v>
      </c>
      <c r="H30" s="6" t="s">
        <v>239</v>
      </c>
      <c r="I30" s="6" t="s">
        <v>240</v>
      </c>
      <c r="J30" s="6" t="s">
        <v>241</v>
      </c>
      <c r="K30" s="11" t="s">
        <v>127</v>
      </c>
      <c r="L30" s="6" t="str">
        <f>IF(K30="","",INDEX('Remediation Plan'!$B$5:$B$17,MATCH(K30,'Remediation Plan'!$A$5:$A$17,0)))</f>
        <v>Wave 1 — Align</v>
      </c>
      <c r="M30" s="6" t="s">
        <v>86</v>
      </c>
      <c r="N30" s="6" t="s">
        <v>86</v>
      </c>
      <c r="O30" s="6" t="s">
        <v>242</v>
      </c>
    </row>
    <row r="31" ht="34.2" spans="1:15">
      <c r="A31" s="16" t="s">
        <v>243</v>
      </c>
      <c r="B31" s="6" t="s">
        <v>21</v>
      </c>
      <c r="C31" s="6" t="s">
        <v>206</v>
      </c>
      <c r="D31" s="6" t="s">
        <v>244</v>
      </c>
      <c r="E31" s="11" t="s">
        <v>83</v>
      </c>
      <c r="F31" s="6" t="s">
        <v>208</v>
      </c>
      <c r="G31" s="11" t="s">
        <v>4</v>
      </c>
      <c r="H31" s="6" t="s">
        <v>245</v>
      </c>
      <c r="I31" s="6" t="s">
        <v>86</v>
      </c>
      <c r="J31" s="6" t="s">
        <v>86</v>
      </c>
      <c r="K31" s="11" t="s">
        <v>87</v>
      </c>
      <c r="L31" s="6" t="str">
        <f>IF(K31="","",INDEX('Remediation Plan'!$B$5:$B$17,MATCH(K31,'Remediation Plan'!$A$5:$A$17,0)))</f>
        <v/>
      </c>
      <c r="M31" s="6" t="s">
        <v>246</v>
      </c>
      <c r="N31" s="6" t="s">
        <v>247</v>
      </c>
      <c r="O31" s="6" t="s">
        <v>248</v>
      </c>
    </row>
    <row r="32" ht="22.8" spans="1:15">
      <c r="A32" s="16" t="s">
        <v>249</v>
      </c>
      <c r="B32" s="6" t="s">
        <v>21</v>
      </c>
      <c r="C32" s="6" t="s">
        <v>206</v>
      </c>
      <c r="D32" s="6" t="s">
        <v>250</v>
      </c>
      <c r="E32" s="11" t="s">
        <v>83</v>
      </c>
      <c r="F32" s="6" t="s">
        <v>208</v>
      </c>
      <c r="G32" s="11" t="s">
        <v>4</v>
      </c>
      <c r="H32" s="6" t="s">
        <v>251</v>
      </c>
      <c r="I32" s="6" t="s">
        <v>86</v>
      </c>
      <c r="J32" s="6" t="s">
        <v>86</v>
      </c>
      <c r="K32" s="11" t="s">
        <v>87</v>
      </c>
      <c r="L32" s="6" t="str">
        <f>IF(K32="","",INDEX('Remediation Plan'!$B$5:$B$17,MATCH(K32,'Remediation Plan'!$A$5:$A$17,0)))</f>
        <v/>
      </c>
      <c r="M32" s="6" t="s">
        <v>86</v>
      </c>
      <c r="N32" s="6" t="s">
        <v>86</v>
      </c>
      <c r="O32" s="6" t="s">
        <v>252</v>
      </c>
    </row>
    <row r="33" ht="34.2" spans="1:15">
      <c r="A33" s="16" t="s">
        <v>253</v>
      </c>
      <c r="B33" s="6" t="s">
        <v>21</v>
      </c>
      <c r="C33" s="6" t="s">
        <v>206</v>
      </c>
      <c r="D33" s="6" t="s">
        <v>254</v>
      </c>
      <c r="E33" s="11" t="s">
        <v>142</v>
      </c>
      <c r="F33" s="6" t="s">
        <v>208</v>
      </c>
      <c r="G33" s="11" t="s">
        <v>4</v>
      </c>
      <c r="H33" s="6" t="s">
        <v>255</v>
      </c>
      <c r="I33" s="6" t="s">
        <v>86</v>
      </c>
      <c r="J33" s="6" t="s">
        <v>86</v>
      </c>
      <c r="K33" s="11" t="s">
        <v>87</v>
      </c>
      <c r="L33" s="6" t="str">
        <f>IF(K33="","",INDEX('Remediation Plan'!$B$5:$B$17,MATCH(K33,'Remediation Plan'!$A$5:$A$17,0)))</f>
        <v/>
      </c>
      <c r="M33" s="6" t="s">
        <v>86</v>
      </c>
      <c r="N33" s="6" t="s">
        <v>86</v>
      </c>
      <c r="O33" s="6" t="s">
        <v>256</v>
      </c>
    </row>
    <row r="34" ht="45.6" spans="1:15">
      <c r="A34" s="16" t="s">
        <v>257</v>
      </c>
      <c r="B34" s="6" t="s">
        <v>21</v>
      </c>
      <c r="C34" s="6" t="s">
        <v>258</v>
      </c>
      <c r="D34" s="6" t="s">
        <v>259</v>
      </c>
      <c r="E34" s="11" t="s">
        <v>83</v>
      </c>
      <c r="F34" s="6" t="s">
        <v>147</v>
      </c>
      <c r="G34" s="11" t="s">
        <v>4</v>
      </c>
      <c r="H34" s="6" t="s">
        <v>260</v>
      </c>
      <c r="I34" s="6" t="s">
        <v>86</v>
      </c>
      <c r="J34" s="6" t="s">
        <v>86</v>
      </c>
      <c r="K34" s="11" t="s">
        <v>151</v>
      </c>
      <c r="L34" s="6" t="str">
        <f>IF(K34="","",INDEX('Remediation Plan'!$B$5:$B$17,MATCH(K34,'Remediation Plan'!$A$5:$A$17,0)))</f>
        <v>Wave 1 — Align</v>
      </c>
      <c r="M34" s="6" t="s">
        <v>261</v>
      </c>
      <c r="N34" s="6" t="s">
        <v>262</v>
      </c>
      <c r="O34" s="6" t="s">
        <v>263</v>
      </c>
    </row>
    <row r="35" ht="45.6" spans="1:15">
      <c r="A35" s="16" t="s">
        <v>264</v>
      </c>
      <c r="B35" s="6" t="s">
        <v>21</v>
      </c>
      <c r="C35" s="6" t="s">
        <v>258</v>
      </c>
      <c r="D35" s="6" t="s">
        <v>265</v>
      </c>
      <c r="E35" s="11" t="s">
        <v>83</v>
      </c>
      <c r="F35" s="6" t="s">
        <v>147</v>
      </c>
      <c r="G35" s="11" t="s">
        <v>5</v>
      </c>
      <c r="H35" s="6" t="s">
        <v>266</v>
      </c>
      <c r="I35" s="6" t="s">
        <v>267</v>
      </c>
      <c r="J35" s="6" t="s">
        <v>268</v>
      </c>
      <c r="K35" s="11" t="s">
        <v>151</v>
      </c>
      <c r="L35" s="6" t="str">
        <f>IF(K35="","",INDEX('Remediation Plan'!$B$5:$B$17,MATCH(K35,'Remediation Plan'!$A$5:$A$17,0)))</f>
        <v>Wave 1 — Align</v>
      </c>
      <c r="M35" s="6" t="s">
        <v>246</v>
      </c>
      <c r="N35" s="6" t="s">
        <v>247</v>
      </c>
      <c r="O35" s="6" t="s">
        <v>269</v>
      </c>
    </row>
    <row r="36" ht="34.2" spans="1:15">
      <c r="A36" s="16" t="s">
        <v>270</v>
      </c>
      <c r="B36" s="6" t="s">
        <v>21</v>
      </c>
      <c r="C36" s="6" t="s">
        <v>258</v>
      </c>
      <c r="D36" s="6" t="s">
        <v>271</v>
      </c>
      <c r="E36" s="11" t="s">
        <v>142</v>
      </c>
      <c r="F36" s="6" t="s">
        <v>147</v>
      </c>
      <c r="G36" s="11" t="s">
        <v>4</v>
      </c>
      <c r="H36" s="6" t="s">
        <v>272</v>
      </c>
      <c r="I36" s="6" t="s">
        <v>86</v>
      </c>
      <c r="J36" s="6" t="s">
        <v>86</v>
      </c>
      <c r="K36" s="11" t="s">
        <v>151</v>
      </c>
      <c r="L36" s="6" t="str">
        <f>IF(K36="","",INDEX('Remediation Plan'!$B$5:$B$17,MATCH(K36,'Remediation Plan'!$A$5:$A$17,0)))</f>
        <v>Wave 1 — Align</v>
      </c>
      <c r="M36" s="6" t="s">
        <v>86</v>
      </c>
      <c r="N36" s="6" t="s">
        <v>86</v>
      </c>
      <c r="O36" s="6" t="s">
        <v>273</v>
      </c>
    </row>
    <row r="37" ht="45.6" spans="1:15">
      <c r="A37" s="16" t="s">
        <v>274</v>
      </c>
      <c r="B37" s="6" t="s">
        <v>21</v>
      </c>
      <c r="C37" s="6" t="s">
        <v>275</v>
      </c>
      <c r="D37" s="6" t="s">
        <v>276</v>
      </c>
      <c r="E37" s="11" t="s">
        <v>83</v>
      </c>
      <c r="F37" s="6" t="s">
        <v>119</v>
      </c>
      <c r="G37" s="11" t="s">
        <v>5</v>
      </c>
      <c r="H37" s="6" t="s">
        <v>277</v>
      </c>
      <c r="I37" s="6" t="s">
        <v>278</v>
      </c>
      <c r="J37" s="6" t="s">
        <v>279</v>
      </c>
      <c r="K37" s="11" t="s">
        <v>280</v>
      </c>
      <c r="L37" s="6" t="str">
        <f>IF(K37="","",INDEX('Remediation Plan'!$B$5:$B$17,MATCH(K37,'Remediation Plan'!$A$5:$A$17,0)))</f>
        <v>Wave 3 — Stock control</v>
      </c>
      <c r="M37" s="6" t="s">
        <v>281</v>
      </c>
      <c r="N37" s="6" t="s">
        <v>282</v>
      </c>
      <c r="O37" s="6" t="s">
        <v>283</v>
      </c>
    </row>
    <row r="38" ht="22.8" spans="1:15">
      <c r="A38" s="16" t="s">
        <v>284</v>
      </c>
      <c r="B38" s="6" t="s">
        <v>21</v>
      </c>
      <c r="C38" s="6" t="s">
        <v>275</v>
      </c>
      <c r="D38" s="6" t="s">
        <v>285</v>
      </c>
      <c r="E38" s="11" t="s">
        <v>83</v>
      </c>
      <c r="F38" s="6" t="s">
        <v>119</v>
      </c>
      <c r="G38" s="11" t="s">
        <v>5</v>
      </c>
      <c r="H38" s="6" t="s">
        <v>286</v>
      </c>
      <c r="I38" s="6" t="s">
        <v>287</v>
      </c>
      <c r="J38" s="6" t="s">
        <v>288</v>
      </c>
      <c r="K38" s="11" t="s">
        <v>98</v>
      </c>
      <c r="L38" s="6" t="str">
        <f>IF(K38="","",INDEX('Remediation Plan'!$B$5:$B$17,MATCH(K38,'Remediation Plan'!$A$5:$A$17,0)))</f>
        <v>Wave 0 — Fix now</v>
      </c>
      <c r="M38" s="6" t="s">
        <v>86</v>
      </c>
      <c r="N38" s="6" t="s">
        <v>86</v>
      </c>
      <c r="O38" s="6" t="s">
        <v>289</v>
      </c>
    </row>
    <row r="39" ht="22.8" spans="1:15">
      <c r="A39" s="16" t="s">
        <v>290</v>
      </c>
      <c r="B39" s="6" t="s">
        <v>21</v>
      </c>
      <c r="C39" s="6" t="s">
        <v>275</v>
      </c>
      <c r="D39" s="6" t="s">
        <v>291</v>
      </c>
      <c r="E39" s="11" t="s">
        <v>83</v>
      </c>
      <c r="F39" s="6" t="s">
        <v>119</v>
      </c>
      <c r="G39" s="11" t="s">
        <v>5</v>
      </c>
      <c r="H39" s="6" t="s">
        <v>292</v>
      </c>
      <c r="I39" s="6" t="s">
        <v>293</v>
      </c>
      <c r="J39" s="6" t="s">
        <v>294</v>
      </c>
      <c r="K39" s="11" t="s">
        <v>280</v>
      </c>
      <c r="L39" s="6" t="str">
        <f>IF(K39="","",INDEX('Remediation Plan'!$B$5:$B$17,MATCH(K39,'Remediation Plan'!$A$5:$A$17,0)))</f>
        <v>Wave 3 — Stock control</v>
      </c>
      <c r="M39" s="6" t="s">
        <v>86</v>
      </c>
      <c r="N39" s="6" t="s">
        <v>86</v>
      </c>
      <c r="O39" s="6" t="s">
        <v>295</v>
      </c>
    </row>
    <row r="40" ht="34.2" spans="1:15">
      <c r="A40" s="16" t="s">
        <v>296</v>
      </c>
      <c r="B40" s="6" t="s">
        <v>21</v>
      </c>
      <c r="C40" s="6" t="s">
        <v>275</v>
      </c>
      <c r="D40" s="6" t="s">
        <v>297</v>
      </c>
      <c r="E40" s="11" t="s">
        <v>83</v>
      </c>
      <c r="F40" s="6" t="s">
        <v>119</v>
      </c>
      <c r="G40" s="11" t="s">
        <v>4</v>
      </c>
      <c r="H40" s="6" t="s">
        <v>298</v>
      </c>
      <c r="I40" s="6" t="s">
        <v>86</v>
      </c>
      <c r="J40" s="6" t="s">
        <v>86</v>
      </c>
      <c r="K40" s="11" t="s">
        <v>280</v>
      </c>
      <c r="L40" s="6" t="str">
        <f>IF(K40="","",INDEX('Remediation Plan'!$B$5:$B$17,MATCH(K40,'Remediation Plan'!$A$5:$A$17,0)))</f>
        <v>Wave 3 — Stock control</v>
      </c>
      <c r="M40" s="6" t="s">
        <v>299</v>
      </c>
      <c r="N40" s="6" t="s">
        <v>300</v>
      </c>
      <c r="O40" s="6" t="s">
        <v>273</v>
      </c>
    </row>
    <row r="41" ht="22.8" spans="1:15">
      <c r="A41" s="16" t="s">
        <v>301</v>
      </c>
      <c r="B41" s="6" t="s">
        <v>21</v>
      </c>
      <c r="C41" s="6" t="s">
        <v>275</v>
      </c>
      <c r="D41" s="6" t="s">
        <v>302</v>
      </c>
      <c r="E41" s="11" t="s">
        <v>83</v>
      </c>
      <c r="F41" s="6" t="s">
        <v>119</v>
      </c>
      <c r="G41" s="11" t="s">
        <v>4</v>
      </c>
      <c r="H41" s="6" t="s">
        <v>303</v>
      </c>
      <c r="I41" s="6" t="s">
        <v>86</v>
      </c>
      <c r="J41" s="6" t="s">
        <v>86</v>
      </c>
      <c r="K41" s="11" t="s">
        <v>87</v>
      </c>
      <c r="L41" s="6" t="str">
        <f>IF(K41="","",INDEX('Remediation Plan'!$B$5:$B$17,MATCH(K41,'Remediation Plan'!$A$5:$A$17,0)))</f>
        <v/>
      </c>
      <c r="M41" s="6" t="s">
        <v>86</v>
      </c>
      <c r="N41" s="6" t="s">
        <v>86</v>
      </c>
      <c r="O41" s="6" t="s">
        <v>304</v>
      </c>
    </row>
    <row r="42" ht="22.8" spans="1:15">
      <c r="A42" s="16" t="s">
        <v>305</v>
      </c>
      <c r="B42" s="6" t="s">
        <v>21</v>
      </c>
      <c r="C42" s="6" t="s">
        <v>275</v>
      </c>
      <c r="D42" s="6" t="s">
        <v>306</v>
      </c>
      <c r="E42" s="11" t="s">
        <v>142</v>
      </c>
      <c r="F42" s="6" t="s">
        <v>119</v>
      </c>
      <c r="G42" s="11" t="s">
        <v>5</v>
      </c>
      <c r="H42" s="6" t="s">
        <v>307</v>
      </c>
      <c r="I42" s="6" t="s">
        <v>308</v>
      </c>
      <c r="J42" s="6" t="s">
        <v>309</v>
      </c>
      <c r="K42" s="11" t="s">
        <v>310</v>
      </c>
      <c r="L42" s="6" t="str">
        <f>IF(K42="","",INDEX('Remediation Plan'!$B$5:$B$17,MATCH(K42,'Remediation Plan'!$A$5:$A$17,0)))</f>
        <v>Wave 4 — Notify &amp; report</v>
      </c>
      <c r="M42" s="6" t="s">
        <v>86</v>
      </c>
      <c r="N42" s="6" t="s">
        <v>86</v>
      </c>
      <c r="O42" s="6" t="s">
        <v>311</v>
      </c>
    </row>
    <row r="43" ht="34.2" spans="1:15">
      <c r="A43" s="16" t="s">
        <v>312</v>
      </c>
      <c r="B43" s="6" t="s">
        <v>21</v>
      </c>
      <c r="C43" s="6" t="s">
        <v>313</v>
      </c>
      <c r="D43" s="6" t="s">
        <v>314</v>
      </c>
      <c r="E43" s="11" t="s">
        <v>142</v>
      </c>
      <c r="F43" s="6" t="s">
        <v>119</v>
      </c>
      <c r="G43" s="11" t="s">
        <v>4</v>
      </c>
      <c r="H43" s="6" t="s">
        <v>315</v>
      </c>
      <c r="I43" s="6" t="s">
        <v>86</v>
      </c>
      <c r="J43" s="6" t="s">
        <v>86</v>
      </c>
      <c r="K43" s="11" t="s">
        <v>280</v>
      </c>
      <c r="L43" s="6" t="str">
        <f>IF(K43="","",INDEX('Remediation Plan'!$B$5:$B$17,MATCH(K43,'Remediation Plan'!$A$5:$A$17,0)))</f>
        <v>Wave 3 — Stock control</v>
      </c>
      <c r="M43" s="6" t="s">
        <v>86</v>
      </c>
      <c r="N43" s="6" t="s">
        <v>86</v>
      </c>
      <c r="O43" s="6" t="s">
        <v>316</v>
      </c>
    </row>
    <row r="44" ht="34.2" spans="1:15">
      <c r="A44" s="16" t="s">
        <v>317</v>
      </c>
      <c r="B44" s="6" t="s">
        <v>21</v>
      </c>
      <c r="C44" s="6" t="s">
        <v>313</v>
      </c>
      <c r="D44" s="6" t="s">
        <v>318</v>
      </c>
      <c r="E44" s="11" t="s">
        <v>83</v>
      </c>
      <c r="F44" s="6" t="s">
        <v>119</v>
      </c>
      <c r="G44" s="11" t="s">
        <v>4</v>
      </c>
      <c r="H44" s="6" t="s">
        <v>319</v>
      </c>
      <c r="I44" s="6" t="s">
        <v>86</v>
      </c>
      <c r="J44" s="6" t="s">
        <v>86</v>
      </c>
      <c r="K44" s="11" t="s">
        <v>280</v>
      </c>
      <c r="L44" s="6" t="str">
        <f>IF(K44="","",INDEX('Remediation Plan'!$B$5:$B$17,MATCH(K44,'Remediation Plan'!$A$5:$A$17,0)))</f>
        <v>Wave 3 — Stock control</v>
      </c>
      <c r="M44" s="6" t="s">
        <v>86</v>
      </c>
      <c r="N44" s="6" t="s">
        <v>86</v>
      </c>
      <c r="O44" s="6" t="s">
        <v>320</v>
      </c>
    </row>
    <row r="45" ht="45.6" spans="1:15">
      <c r="A45" s="16" t="s">
        <v>321</v>
      </c>
      <c r="B45" s="6" t="s">
        <v>21</v>
      </c>
      <c r="C45" s="6" t="s">
        <v>313</v>
      </c>
      <c r="D45" s="6" t="s">
        <v>322</v>
      </c>
      <c r="E45" s="11" t="s">
        <v>142</v>
      </c>
      <c r="F45" s="6" t="s">
        <v>119</v>
      </c>
      <c r="G45" s="11" t="s">
        <v>4</v>
      </c>
      <c r="H45" s="6" t="s">
        <v>323</v>
      </c>
      <c r="I45" s="6" t="s">
        <v>86</v>
      </c>
      <c r="J45" s="6" t="s">
        <v>86</v>
      </c>
      <c r="K45" s="11" t="s">
        <v>280</v>
      </c>
      <c r="L45" s="6" t="str">
        <f>IF(K45="","",INDEX('Remediation Plan'!$B$5:$B$17,MATCH(K45,'Remediation Plan'!$A$5:$A$17,0)))</f>
        <v>Wave 3 — Stock control</v>
      </c>
      <c r="M45" s="6" t="s">
        <v>86</v>
      </c>
      <c r="N45" s="6" t="s">
        <v>86</v>
      </c>
      <c r="O45" s="6" t="s">
        <v>324</v>
      </c>
    </row>
    <row r="46" ht="22.8" spans="1:15">
      <c r="A46" s="16" t="s">
        <v>325</v>
      </c>
      <c r="B46" s="6" t="s">
        <v>21</v>
      </c>
      <c r="C46" s="6" t="s">
        <v>326</v>
      </c>
      <c r="D46" s="6" t="s">
        <v>327</v>
      </c>
      <c r="E46" s="11" t="s">
        <v>83</v>
      </c>
      <c r="F46" s="6" t="s">
        <v>328</v>
      </c>
      <c r="G46" s="11" t="s">
        <v>4</v>
      </c>
      <c r="H46" s="6" t="s">
        <v>329</v>
      </c>
      <c r="I46" s="6" t="s">
        <v>86</v>
      </c>
      <c r="J46" s="6" t="s">
        <v>86</v>
      </c>
      <c r="K46" s="11" t="s">
        <v>87</v>
      </c>
      <c r="L46" s="6" t="str">
        <f>IF(K46="","",INDEX('Remediation Plan'!$B$5:$B$17,MATCH(K46,'Remediation Plan'!$A$5:$A$17,0)))</f>
        <v/>
      </c>
      <c r="M46" s="6" t="s">
        <v>330</v>
      </c>
      <c r="N46" s="6" t="s">
        <v>331</v>
      </c>
      <c r="O46" s="6" t="s">
        <v>332</v>
      </c>
    </row>
    <row r="47" ht="57" spans="1:15">
      <c r="A47" s="16" t="s">
        <v>333</v>
      </c>
      <c r="B47" s="6" t="s">
        <v>21</v>
      </c>
      <c r="C47" s="6" t="s">
        <v>326</v>
      </c>
      <c r="D47" s="6" t="s">
        <v>334</v>
      </c>
      <c r="E47" s="11" t="s">
        <v>83</v>
      </c>
      <c r="F47" s="6" t="s">
        <v>328</v>
      </c>
      <c r="G47" s="11" t="s">
        <v>4</v>
      </c>
      <c r="H47" s="6" t="s">
        <v>335</v>
      </c>
      <c r="I47" s="6" t="s">
        <v>86</v>
      </c>
      <c r="J47" s="6" t="s">
        <v>86</v>
      </c>
      <c r="K47" s="11" t="s">
        <v>87</v>
      </c>
      <c r="L47" s="6" t="str">
        <f>IF(K47="","",INDEX('Remediation Plan'!$B$5:$B$17,MATCH(K47,'Remediation Plan'!$A$5:$A$17,0)))</f>
        <v/>
      </c>
      <c r="M47" s="6" t="s">
        <v>336</v>
      </c>
      <c r="N47" s="6" t="s">
        <v>337</v>
      </c>
      <c r="O47" s="6" t="s">
        <v>338</v>
      </c>
    </row>
    <row r="48" ht="34.2" spans="1:15">
      <c r="A48" s="16" t="s">
        <v>339</v>
      </c>
      <c r="B48" s="6" t="s">
        <v>21</v>
      </c>
      <c r="C48" s="6" t="s">
        <v>326</v>
      </c>
      <c r="D48" s="6" t="s">
        <v>340</v>
      </c>
      <c r="E48" s="11" t="s">
        <v>83</v>
      </c>
      <c r="F48" s="6" t="s">
        <v>328</v>
      </c>
      <c r="G48" s="11" t="s">
        <v>4</v>
      </c>
      <c r="H48" s="6" t="s">
        <v>341</v>
      </c>
      <c r="I48" s="6" t="s">
        <v>86</v>
      </c>
      <c r="J48" s="6" t="s">
        <v>86</v>
      </c>
      <c r="K48" s="11" t="s">
        <v>87</v>
      </c>
      <c r="L48" s="6" t="str">
        <f>IF(K48="","",INDEX('Remediation Plan'!$B$5:$B$17,MATCH(K48,'Remediation Plan'!$A$5:$A$17,0)))</f>
        <v/>
      </c>
      <c r="M48" s="6" t="s">
        <v>342</v>
      </c>
      <c r="N48" s="6" t="s">
        <v>343</v>
      </c>
      <c r="O48" s="6" t="s">
        <v>344</v>
      </c>
    </row>
    <row r="49" ht="34.2" spans="1:15">
      <c r="A49" s="16" t="s">
        <v>345</v>
      </c>
      <c r="B49" s="6" t="s">
        <v>21</v>
      </c>
      <c r="C49" s="6" t="s">
        <v>326</v>
      </c>
      <c r="D49" s="6" t="s">
        <v>346</v>
      </c>
      <c r="E49" s="11" t="s">
        <v>83</v>
      </c>
      <c r="F49" s="6" t="s">
        <v>328</v>
      </c>
      <c r="G49" s="11" t="s">
        <v>5</v>
      </c>
      <c r="H49" s="6" t="s">
        <v>347</v>
      </c>
      <c r="I49" s="6" t="s">
        <v>348</v>
      </c>
      <c r="J49" s="6" t="s">
        <v>349</v>
      </c>
      <c r="K49" s="11" t="s">
        <v>98</v>
      </c>
      <c r="L49" s="6" t="str">
        <f>IF(K49="","",INDEX('Remediation Plan'!$B$5:$B$17,MATCH(K49,'Remediation Plan'!$A$5:$A$17,0)))</f>
        <v>Wave 0 — Fix now</v>
      </c>
      <c r="M49" s="6" t="s">
        <v>281</v>
      </c>
      <c r="N49" s="6" t="s">
        <v>282</v>
      </c>
      <c r="O49" s="6" t="s">
        <v>350</v>
      </c>
    </row>
    <row r="50" ht="34.2" spans="1:15">
      <c r="A50" s="16" t="s">
        <v>351</v>
      </c>
      <c r="B50" s="6" t="s">
        <v>21</v>
      </c>
      <c r="C50" s="6" t="s">
        <v>326</v>
      </c>
      <c r="D50" s="6" t="s">
        <v>352</v>
      </c>
      <c r="E50" s="11" t="s">
        <v>83</v>
      </c>
      <c r="F50" s="6" t="s">
        <v>328</v>
      </c>
      <c r="G50" s="11" t="s">
        <v>4</v>
      </c>
      <c r="H50" s="6" t="s">
        <v>353</v>
      </c>
      <c r="I50" s="6" t="s">
        <v>86</v>
      </c>
      <c r="J50" s="6" t="s">
        <v>86</v>
      </c>
      <c r="K50" s="11" t="s">
        <v>87</v>
      </c>
      <c r="L50" s="6" t="str">
        <f>IF(K50="","",INDEX('Remediation Plan'!$B$5:$B$17,MATCH(K50,'Remediation Plan'!$A$5:$A$17,0)))</f>
        <v/>
      </c>
      <c r="M50" s="6" t="s">
        <v>281</v>
      </c>
      <c r="N50" s="6" t="s">
        <v>282</v>
      </c>
      <c r="O50" s="6" t="s">
        <v>354</v>
      </c>
    </row>
    <row r="51" ht="34.2" spans="1:15">
      <c r="A51" s="16" t="s">
        <v>355</v>
      </c>
      <c r="B51" s="6" t="s">
        <v>21</v>
      </c>
      <c r="C51" s="6" t="s">
        <v>326</v>
      </c>
      <c r="D51" s="6" t="s">
        <v>356</v>
      </c>
      <c r="E51" s="11" t="s">
        <v>83</v>
      </c>
      <c r="F51" s="6" t="s">
        <v>328</v>
      </c>
      <c r="G51" s="11" t="s">
        <v>4</v>
      </c>
      <c r="H51" s="6" t="s">
        <v>357</v>
      </c>
      <c r="I51" s="6" t="s">
        <v>86</v>
      </c>
      <c r="J51" s="6" t="s">
        <v>86</v>
      </c>
      <c r="K51" s="11" t="s">
        <v>87</v>
      </c>
      <c r="L51" s="6" t="str">
        <f>IF(K51="","",INDEX('Remediation Plan'!$B$5:$B$17,MATCH(K51,'Remediation Plan'!$A$5:$A$17,0)))</f>
        <v/>
      </c>
      <c r="M51" s="6" t="s">
        <v>86</v>
      </c>
      <c r="N51" s="6" t="s">
        <v>86</v>
      </c>
      <c r="O51" s="6" t="s">
        <v>86</v>
      </c>
    </row>
    <row r="52" ht="34.2" spans="1:15">
      <c r="A52" s="16" t="s">
        <v>358</v>
      </c>
      <c r="B52" s="6" t="s">
        <v>21</v>
      </c>
      <c r="C52" s="6" t="s">
        <v>326</v>
      </c>
      <c r="D52" s="6" t="s">
        <v>359</v>
      </c>
      <c r="E52" s="11" t="s">
        <v>142</v>
      </c>
      <c r="F52" s="6" t="s">
        <v>328</v>
      </c>
      <c r="G52" s="11" t="s">
        <v>4</v>
      </c>
      <c r="H52" s="6" t="s">
        <v>360</v>
      </c>
      <c r="I52" s="6" t="s">
        <v>86</v>
      </c>
      <c r="J52" s="6" t="s">
        <v>86</v>
      </c>
      <c r="K52" s="11" t="s">
        <v>87</v>
      </c>
      <c r="L52" s="6" t="str">
        <f>IF(K52="","",INDEX('Remediation Plan'!$B$5:$B$17,MATCH(K52,'Remediation Plan'!$A$5:$A$17,0)))</f>
        <v/>
      </c>
      <c r="M52" s="6" t="s">
        <v>86</v>
      </c>
      <c r="N52" s="6" t="s">
        <v>86</v>
      </c>
      <c r="O52" s="6" t="s">
        <v>361</v>
      </c>
    </row>
    <row r="53" ht="22.8" spans="1:15">
      <c r="A53" s="16" t="s">
        <v>362</v>
      </c>
      <c r="B53" s="6" t="s">
        <v>21</v>
      </c>
      <c r="C53" s="6" t="s">
        <v>326</v>
      </c>
      <c r="D53" s="6" t="s">
        <v>363</v>
      </c>
      <c r="E53" s="11" t="s">
        <v>83</v>
      </c>
      <c r="F53" s="6" t="s">
        <v>328</v>
      </c>
      <c r="G53" s="11" t="s">
        <v>4</v>
      </c>
      <c r="H53" s="6" t="s">
        <v>364</v>
      </c>
      <c r="I53" s="6" t="s">
        <v>86</v>
      </c>
      <c r="J53" s="6" t="s">
        <v>86</v>
      </c>
      <c r="K53" s="11" t="s">
        <v>87</v>
      </c>
      <c r="L53" s="6" t="str">
        <f>IF(K53="","",INDEX('Remediation Plan'!$B$5:$B$17,MATCH(K53,'Remediation Plan'!$A$5:$A$17,0)))</f>
        <v/>
      </c>
      <c r="M53" s="6" t="s">
        <v>86</v>
      </c>
      <c r="N53" s="6" t="s">
        <v>86</v>
      </c>
      <c r="O53" s="6" t="s">
        <v>365</v>
      </c>
    </row>
    <row r="54" ht="34.2" spans="1:15">
      <c r="A54" s="16" t="s">
        <v>366</v>
      </c>
      <c r="B54" s="6" t="s">
        <v>21</v>
      </c>
      <c r="C54" s="6" t="s">
        <v>367</v>
      </c>
      <c r="D54" s="6" t="s">
        <v>368</v>
      </c>
      <c r="E54" s="11" t="s">
        <v>83</v>
      </c>
      <c r="F54" s="6" t="s">
        <v>369</v>
      </c>
      <c r="G54" s="11" t="s">
        <v>5</v>
      </c>
      <c r="H54" s="6" t="s">
        <v>370</v>
      </c>
      <c r="I54" s="6" t="s">
        <v>371</v>
      </c>
      <c r="J54" s="6" t="s">
        <v>372</v>
      </c>
      <c r="K54" s="11" t="s">
        <v>373</v>
      </c>
      <c r="L54" s="6" t="str">
        <f>IF(K54="","",INDEX('Remediation Plan'!$B$5:$B$17,MATCH(K54,'Remediation Plan'!$A$5:$A$17,0)))</f>
        <v>Wave 1 — Align</v>
      </c>
      <c r="M54" s="6" t="s">
        <v>374</v>
      </c>
      <c r="N54" s="6" t="s">
        <v>375</v>
      </c>
      <c r="O54" s="6" t="s">
        <v>376</v>
      </c>
    </row>
    <row r="55" ht="34.2" spans="1:15">
      <c r="A55" s="16" t="s">
        <v>377</v>
      </c>
      <c r="B55" s="6" t="s">
        <v>21</v>
      </c>
      <c r="C55" s="6" t="s">
        <v>367</v>
      </c>
      <c r="D55" s="6" t="s">
        <v>378</v>
      </c>
      <c r="E55" s="11" t="s">
        <v>83</v>
      </c>
      <c r="F55" s="6" t="s">
        <v>369</v>
      </c>
      <c r="G55" s="11" t="s">
        <v>5</v>
      </c>
      <c r="H55" s="6" t="s">
        <v>379</v>
      </c>
      <c r="I55" s="6" t="s">
        <v>380</v>
      </c>
      <c r="J55" s="6" t="s">
        <v>381</v>
      </c>
      <c r="K55" s="11" t="s">
        <v>373</v>
      </c>
      <c r="L55" s="6" t="str">
        <f>IF(K55="","",INDEX('Remediation Plan'!$B$5:$B$17,MATCH(K55,'Remediation Plan'!$A$5:$A$17,0)))</f>
        <v>Wave 1 — Align</v>
      </c>
      <c r="M55" s="6" t="s">
        <v>374</v>
      </c>
      <c r="N55" s="6" t="s">
        <v>375</v>
      </c>
      <c r="O55" s="6" t="s">
        <v>382</v>
      </c>
    </row>
    <row r="56" ht="22.8" spans="1:15">
      <c r="A56" s="16" t="s">
        <v>383</v>
      </c>
      <c r="B56" s="6" t="s">
        <v>21</v>
      </c>
      <c r="C56" s="6" t="s">
        <v>367</v>
      </c>
      <c r="D56" s="6" t="s">
        <v>384</v>
      </c>
      <c r="E56" s="11" t="s">
        <v>83</v>
      </c>
      <c r="F56" s="6" t="s">
        <v>369</v>
      </c>
      <c r="G56" s="11" t="s">
        <v>5</v>
      </c>
      <c r="H56" s="6" t="s">
        <v>385</v>
      </c>
      <c r="I56" s="6" t="s">
        <v>386</v>
      </c>
      <c r="J56" s="6" t="s">
        <v>387</v>
      </c>
      <c r="K56" s="11" t="s">
        <v>373</v>
      </c>
      <c r="L56" s="6" t="str">
        <f>IF(K56="","",INDEX('Remediation Plan'!$B$5:$B$17,MATCH(K56,'Remediation Plan'!$A$5:$A$17,0)))</f>
        <v>Wave 1 — Align</v>
      </c>
      <c r="M56" s="6" t="s">
        <v>388</v>
      </c>
      <c r="N56" s="6" t="s">
        <v>389</v>
      </c>
      <c r="O56" s="6" t="s">
        <v>390</v>
      </c>
    </row>
    <row r="57" ht="34.2" spans="1:15">
      <c r="A57" s="16" t="s">
        <v>391</v>
      </c>
      <c r="B57" s="6" t="s">
        <v>21</v>
      </c>
      <c r="C57" s="6" t="s">
        <v>367</v>
      </c>
      <c r="D57" s="6" t="s">
        <v>392</v>
      </c>
      <c r="E57" s="11" t="s">
        <v>83</v>
      </c>
      <c r="F57" s="6" t="s">
        <v>369</v>
      </c>
      <c r="G57" s="11" t="s">
        <v>4</v>
      </c>
      <c r="H57" s="6" t="s">
        <v>393</v>
      </c>
      <c r="I57" s="6" t="s">
        <v>86</v>
      </c>
      <c r="J57" s="6" t="s">
        <v>86</v>
      </c>
      <c r="K57" s="11" t="s">
        <v>373</v>
      </c>
      <c r="L57" s="6" t="str">
        <f>IF(K57="","",INDEX('Remediation Plan'!$B$5:$B$17,MATCH(K57,'Remediation Plan'!$A$5:$A$17,0)))</f>
        <v>Wave 1 — Align</v>
      </c>
      <c r="M57" s="6" t="s">
        <v>388</v>
      </c>
      <c r="N57" s="6" t="s">
        <v>389</v>
      </c>
      <c r="O57" s="6" t="s">
        <v>86</v>
      </c>
    </row>
    <row r="58" ht="34.2" spans="1:15">
      <c r="A58" s="16" t="s">
        <v>394</v>
      </c>
      <c r="B58" s="6" t="s">
        <v>21</v>
      </c>
      <c r="C58" s="6" t="s">
        <v>367</v>
      </c>
      <c r="D58" s="6" t="s">
        <v>395</v>
      </c>
      <c r="E58" s="11" t="s">
        <v>83</v>
      </c>
      <c r="F58" s="6" t="s">
        <v>369</v>
      </c>
      <c r="G58" s="11" t="s">
        <v>4</v>
      </c>
      <c r="H58" s="6" t="s">
        <v>396</v>
      </c>
      <c r="I58" s="6" t="s">
        <v>86</v>
      </c>
      <c r="J58" s="6" t="s">
        <v>86</v>
      </c>
      <c r="K58" s="11" t="s">
        <v>87</v>
      </c>
      <c r="L58" s="6" t="str">
        <f>IF(K58="","",INDEX('Remediation Plan'!$B$5:$B$17,MATCH(K58,'Remediation Plan'!$A$5:$A$17,0)))</f>
        <v/>
      </c>
      <c r="M58" s="6" t="s">
        <v>397</v>
      </c>
      <c r="N58" s="6" t="s">
        <v>398</v>
      </c>
      <c r="O58" s="6" t="s">
        <v>399</v>
      </c>
    </row>
    <row r="59" ht="34.2" spans="1:15">
      <c r="A59" s="16" t="s">
        <v>400</v>
      </c>
      <c r="B59" s="6" t="s">
        <v>21</v>
      </c>
      <c r="C59" s="6" t="s">
        <v>367</v>
      </c>
      <c r="D59" s="6" t="s">
        <v>401</v>
      </c>
      <c r="E59" s="11" t="s">
        <v>83</v>
      </c>
      <c r="F59" s="6" t="s">
        <v>369</v>
      </c>
      <c r="G59" s="11" t="s">
        <v>4</v>
      </c>
      <c r="H59" s="6" t="s">
        <v>402</v>
      </c>
      <c r="I59" s="6" t="s">
        <v>86</v>
      </c>
      <c r="J59" s="6" t="s">
        <v>86</v>
      </c>
      <c r="K59" s="11" t="s">
        <v>87</v>
      </c>
      <c r="L59" s="6" t="str">
        <f>IF(K59="","",INDEX('Remediation Plan'!$B$5:$B$17,MATCH(K59,'Remediation Plan'!$A$5:$A$17,0)))</f>
        <v/>
      </c>
      <c r="M59" s="6" t="s">
        <v>397</v>
      </c>
      <c r="N59" s="6" t="s">
        <v>398</v>
      </c>
      <c r="O59" s="6" t="s">
        <v>403</v>
      </c>
    </row>
    <row r="60" ht="34.2" spans="1:15">
      <c r="A60" s="16" t="s">
        <v>404</v>
      </c>
      <c r="B60" s="6" t="s">
        <v>21</v>
      </c>
      <c r="C60" s="6" t="s">
        <v>367</v>
      </c>
      <c r="D60" s="6" t="s">
        <v>405</v>
      </c>
      <c r="E60" s="11" t="s">
        <v>83</v>
      </c>
      <c r="F60" s="6" t="s">
        <v>369</v>
      </c>
      <c r="G60" s="11" t="s">
        <v>4</v>
      </c>
      <c r="H60" s="6" t="s">
        <v>406</v>
      </c>
      <c r="I60" s="6" t="s">
        <v>407</v>
      </c>
      <c r="J60" s="6" t="s">
        <v>408</v>
      </c>
      <c r="K60" s="11" t="s">
        <v>409</v>
      </c>
      <c r="L60" s="6" t="str">
        <f>IF(K60="","",INDEX('Remediation Plan'!$B$5:$B$17,MATCH(K60,'Remediation Plan'!$A$5:$A$17,0)))</f>
        <v>Wave 4 — Notify &amp; report</v>
      </c>
      <c r="M60" s="6" t="s">
        <v>397</v>
      </c>
      <c r="N60" s="6" t="s">
        <v>398</v>
      </c>
      <c r="O60" s="6" t="s">
        <v>410</v>
      </c>
    </row>
    <row r="61" ht="34.2" spans="1:15">
      <c r="A61" s="16" t="s">
        <v>411</v>
      </c>
      <c r="B61" s="6" t="s">
        <v>21</v>
      </c>
      <c r="C61" s="6" t="s">
        <v>367</v>
      </c>
      <c r="D61" s="6" t="s">
        <v>412</v>
      </c>
      <c r="E61" s="11" t="s">
        <v>83</v>
      </c>
      <c r="F61" s="6" t="s">
        <v>369</v>
      </c>
      <c r="G61" s="11" t="s">
        <v>4</v>
      </c>
      <c r="H61" s="6" t="s">
        <v>413</v>
      </c>
      <c r="I61" s="6" t="s">
        <v>86</v>
      </c>
      <c r="J61" s="6" t="s">
        <v>86</v>
      </c>
      <c r="K61" s="11" t="s">
        <v>87</v>
      </c>
      <c r="L61" s="6" t="str">
        <f>IF(K61="","",INDEX('Remediation Plan'!$B$5:$B$17,MATCH(K61,'Remediation Plan'!$A$5:$A$17,0)))</f>
        <v/>
      </c>
      <c r="M61" s="6" t="s">
        <v>414</v>
      </c>
      <c r="N61" s="6" t="s">
        <v>415</v>
      </c>
      <c r="O61" s="6" t="s">
        <v>416</v>
      </c>
    </row>
    <row r="62" ht="22.8" spans="1:15">
      <c r="A62" s="16" t="s">
        <v>417</v>
      </c>
      <c r="B62" s="6" t="s">
        <v>21</v>
      </c>
      <c r="C62" s="6" t="s">
        <v>367</v>
      </c>
      <c r="D62" s="6" t="s">
        <v>418</v>
      </c>
      <c r="E62" s="11" t="s">
        <v>142</v>
      </c>
      <c r="F62" s="6" t="s">
        <v>369</v>
      </c>
      <c r="G62" s="11" t="s">
        <v>5</v>
      </c>
      <c r="H62" s="6" t="s">
        <v>419</v>
      </c>
      <c r="I62" s="6" t="s">
        <v>420</v>
      </c>
      <c r="J62" s="6" t="s">
        <v>421</v>
      </c>
      <c r="K62" s="11" t="s">
        <v>310</v>
      </c>
      <c r="L62" s="6" t="str">
        <f>IF(K62="","",INDEX('Remediation Plan'!$B$5:$B$17,MATCH(K62,'Remediation Plan'!$A$5:$A$17,0)))</f>
        <v>Wave 4 — Notify &amp; report</v>
      </c>
      <c r="M62" s="6" t="s">
        <v>86</v>
      </c>
      <c r="N62" s="6" t="s">
        <v>86</v>
      </c>
      <c r="O62" s="6" t="s">
        <v>422</v>
      </c>
    </row>
    <row r="63" ht="22.8" spans="1:15">
      <c r="A63" s="16" t="s">
        <v>423</v>
      </c>
      <c r="B63" s="6" t="s">
        <v>21</v>
      </c>
      <c r="C63" s="6" t="s">
        <v>367</v>
      </c>
      <c r="D63" s="6" t="s">
        <v>424</v>
      </c>
      <c r="E63" s="11" t="s">
        <v>142</v>
      </c>
      <c r="F63" s="6" t="s">
        <v>369</v>
      </c>
      <c r="G63" s="11" t="s">
        <v>5</v>
      </c>
      <c r="H63" s="6" t="s">
        <v>425</v>
      </c>
      <c r="I63" s="6" t="s">
        <v>426</v>
      </c>
      <c r="J63" s="6" t="s">
        <v>427</v>
      </c>
      <c r="K63" s="11" t="s">
        <v>373</v>
      </c>
      <c r="L63" s="6" t="str">
        <f>IF(K63="","",INDEX('Remediation Plan'!$B$5:$B$17,MATCH(K63,'Remediation Plan'!$A$5:$A$17,0)))</f>
        <v>Wave 1 — Align</v>
      </c>
      <c r="M63" s="6" t="s">
        <v>86</v>
      </c>
      <c r="N63" s="6" t="s">
        <v>86</v>
      </c>
      <c r="O63" s="6" t="s">
        <v>428</v>
      </c>
    </row>
    <row r="64" ht="34.2" spans="1:15">
      <c r="A64" s="16" t="s">
        <v>429</v>
      </c>
      <c r="B64" s="6" t="s">
        <v>23</v>
      </c>
      <c r="C64" s="6" t="s">
        <v>430</v>
      </c>
      <c r="D64" s="6" t="s">
        <v>431</v>
      </c>
      <c r="E64" s="11" t="s">
        <v>83</v>
      </c>
      <c r="F64" s="6" t="s">
        <v>166</v>
      </c>
      <c r="G64" s="11" t="s">
        <v>5</v>
      </c>
      <c r="H64" s="6" t="s">
        <v>432</v>
      </c>
      <c r="I64" s="6" t="s">
        <v>433</v>
      </c>
      <c r="J64" s="6" t="s">
        <v>434</v>
      </c>
      <c r="K64" s="11" t="s">
        <v>435</v>
      </c>
      <c r="L64" s="6" t="str">
        <f>IF(K64="","",INDEX('Remediation Plan'!$B$5:$B$17,MATCH(K64,'Remediation Plan'!$A$5:$A$17,0)))</f>
        <v>Wave 1 — Align</v>
      </c>
      <c r="M64" s="6" t="s">
        <v>86</v>
      </c>
      <c r="N64" s="6" t="s">
        <v>86</v>
      </c>
      <c r="O64" s="6" t="s">
        <v>436</v>
      </c>
    </row>
    <row r="65" ht="34.2" spans="1:15">
      <c r="A65" s="16" t="s">
        <v>437</v>
      </c>
      <c r="B65" s="6" t="s">
        <v>23</v>
      </c>
      <c r="C65" s="6" t="s">
        <v>430</v>
      </c>
      <c r="D65" s="6" t="s">
        <v>438</v>
      </c>
      <c r="E65" s="11" t="s">
        <v>83</v>
      </c>
      <c r="F65" s="6" t="s">
        <v>166</v>
      </c>
      <c r="G65" s="11" t="s">
        <v>4</v>
      </c>
      <c r="H65" s="6" t="s">
        <v>439</v>
      </c>
      <c r="I65" s="6" t="s">
        <v>86</v>
      </c>
      <c r="J65" s="6" t="s">
        <v>86</v>
      </c>
      <c r="K65" s="11" t="s">
        <v>87</v>
      </c>
      <c r="L65" s="6" t="str">
        <f>IF(K65="","",INDEX('Remediation Plan'!$B$5:$B$17,MATCH(K65,'Remediation Plan'!$A$5:$A$17,0)))</f>
        <v/>
      </c>
      <c r="M65" s="6" t="s">
        <v>440</v>
      </c>
      <c r="N65" s="6" t="s">
        <v>441</v>
      </c>
      <c r="O65" s="6" t="s">
        <v>442</v>
      </c>
    </row>
    <row r="66" ht="34.2" spans="1:15">
      <c r="A66" s="16" t="s">
        <v>443</v>
      </c>
      <c r="B66" s="6" t="s">
        <v>23</v>
      </c>
      <c r="C66" s="6" t="s">
        <v>430</v>
      </c>
      <c r="D66" s="6" t="s">
        <v>444</v>
      </c>
      <c r="E66" s="11" t="s">
        <v>83</v>
      </c>
      <c r="F66" s="6" t="s">
        <v>166</v>
      </c>
      <c r="G66" s="11" t="s">
        <v>4</v>
      </c>
      <c r="H66" s="6" t="s">
        <v>445</v>
      </c>
      <c r="I66" s="6" t="s">
        <v>86</v>
      </c>
      <c r="J66" s="6" t="s">
        <v>86</v>
      </c>
      <c r="K66" s="11" t="s">
        <v>87</v>
      </c>
      <c r="L66" s="6" t="str">
        <f>IF(K66="","",INDEX('Remediation Plan'!$B$5:$B$17,MATCH(K66,'Remediation Plan'!$A$5:$A$17,0)))</f>
        <v/>
      </c>
      <c r="M66" s="6" t="s">
        <v>86</v>
      </c>
      <c r="N66" s="6" t="s">
        <v>86</v>
      </c>
      <c r="O66" s="6" t="s">
        <v>446</v>
      </c>
    </row>
    <row r="67" ht="22.8" spans="1:15">
      <c r="A67" s="16" t="s">
        <v>447</v>
      </c>
      <c r="B67" s="6" t="s">
        <v>23</v>
      </c>
      <c r="C67" s="6" t="s">
        <v>430</v>
      </c>
      <c r="D67" s="6" t="s">
        <v>448</v>
      </c>
      <c r="E67" s="11" t="s">
        <v>83</v>
      </c>
      <c r="F67" s="6" t="s">
        <v>166</v>
      </c>
      <c r="G67" s="11" t="s">
        <v>5</v>
      </c>
      <c r="H67" s="6" t="s">
        <v>449</v>
      </c>
      <c r="I67" s="6" t="s">
        <v>450</v>
      </c>
      <c r="J67" s="6" t="s">
        <v>451</v>
      </c>
      <c r="K67" s="11" t="s">
        <v>435</v>
      </c>
      <c r="L67" s="6" t="str">
        <f>IF(K67="","",INDEX('Remediation Plan'!$B$5:$B$17,MATCH(K67,'Remediation Plan'!$A$5:$A$17,0)))</f>
        <v>Wave 1 — Align</v>
      </c>
      <c r="M67" s="6" t="s">
        <v>86</v>
      </c>
      <c r="N67" s="6" t="s">
        <v>86</v>
      </c>
      <c r="O67" s="6" t="s">
        <v>86</v>
      </c>
    </row>
    <row r="68" ht="34.2" spans="1:15">
      <c r="A68" s="16" t="s">
        <v>452</v>
      </c>
      <c r="B68" s="6" t="s">
        <v>23</v>
      </c>
      <c r="C68" s="6" t="s">
        <v>430</v>
      </c>
      <c r="D68" s="6" t="s">
        <v>453</v>
      </c>
      <c r="E68" s="11" t="s">
        <v>83</v>
      </c>
      <c r="F68" s="6" t="s">
        <v>166</v>
      </c>
      <c r="G68" s="11" t="s">
        <v>5</v>
      </c>
      <c r="H68" s="6" t="s">
        <v>454</v>
      </c>
      <c r="I68" s="6" t="s">
        <v>455</v>
      </c>
      <c r="J68" s="6" t="s">
        <v>456</v>
      </c>
      <c r="K68" s="11" t="s">
        <v>197</v>
      </c>
      <c r="L68" s="6" t="str">
        <f>IF(K68="","",INDEX('Remediation Plan'!$B$5:$B$17,MATCH(K68,'Remediation Plan'!$A$5:$A$17,0)))</f>
        <v>Wave 1 — Align</v>
      </c>
      <c r="M68" s="6" t="s">
        <v>457</v>
      </c>
      <c r="N68" s="6" t="s">
        <v>458</v>
      </c>
      <c r="O68" s="6" t="s">
        <v>459</v>
      </c>
    </row>
    <row r="69" ht="22.8" spans="1:15">
      <c r="A69" s="16" t="s">
        <v>460</v>
      </c>
      <c r="B69" s="6" t="s">
        <v>23</v>
      </c>
      <c r="C69" s="6" t="s">
        <v>430</v>
      </c>
      <c r="D69" s="6" t="s">
        <v>461</v>
      </c>
      <c r="E69" s="11" t="s">
        <v>142</v>
      </c>
      <c r="F69" s="6" t="s">
        <v>166</v>
      </c>
      <c r="G69" s="11" t="s">
        <v>4</v>
      </c>
      <c r="H69" s="6" t="s">
        <v>462</v>
      </c>
      <c r="I69" s="6" t="s">
        <v>86</v>
      </c>
      <c r="J69" s="6" t="s">
        <v>86</v>
      </c>
      <c r="K69" s="11" t="s">
        <v>87</v>
      </c>
      <c r="L69" s="6" t="str">
        <f>IF(K69="","",INDEX('Remediation Plan'!$B$5:$B$17,MATCH(K69,'Remediation Plan'!$A$5:$A$17,0)))</f>
        <v/>
      </c>
      <c r="M69" s="6" t="s">
        <v>457</v>
      </c>
      <c r="N69" s="6" t="s">
        <v>458</v>
      </c>
      <c r="O69" s="6" t="s">
        <v>463</v>
      </c>
    </row>
    <row r="70" ht="22.8" spans="1:15">
      <c r="A70" s="16" t="s">
        <v>464</v>
      </c>
      <c r="B70" s="6" t="s">
        <v>23</v>
      </c>
      <c r="C70" s="6" t="s">
        <v>430</v>
      </c>
      <c r="D70" s="6" t="s">
        <v>465</v>
      </c>
      <c r="E70" s="11" t="s">
        <v>83</v>
      </c>
      <c r="F70" s="6" t="s">
        <v>166</v>
      </c>
      <c r="G70" s="11" t="s">
        <v>5</v>
      </c>
      <c r="H70" s="6" t="s">
        <v>466</v>
      </c>
      <c r="I70" s="6" t="s">
        <v>467</v>
      </c>
      <c r="J70" s="6" t="s">
        <v>468</v>
      </c>
      <c r="K70" s="11" t="s">
        <v>98</v>
      </c>
      <c r="L70" s="6" t="str">
        <f>IF(K70="","",INDEX('Remediation Plan'!$B$5:$B$17,MATCH(K70,'Remediation Plan'!$A$5:$A$17,0)))</f>
        <v>Wave 0 — Fix now</v>
      </c>
      <c r="M70" s="6" t="s">
        <v>86</v>
      </c>
      <c r="N70" s="6" t="s">
        <v>86</v>
      </c>
      <c r="O70" s="6" t="s">
        <v>469</v>
      </c>
    </row>
    <row r="71" ht="22.8" spans="1:15">
      <c r="A71" s="16" t="s">
        <v>470</v>
      </c>
      <c r="B71" s="6" t="s">
        <v>23</v>
      </c>
      <c r="C71" s="6" t="s">
        <v>430</v>
      </c>
      <c r="D71" s="6" t="s">
        <v>471</v>
      </c>
      <c r="E71" s="11" t="s">
        <v>83</v>
      </c>
      <c r="F71" s="6" t="s">
        <v>166</v>
      </c>
      <c r="G71" s="11" t="s">
        <v>4</v>
      </c>
      <c r="H71" s="6" t="s">
        <v>472</v>
      </c>
      <c r="I71" s="6" t="s">
        <v>86</v>
      </c>
      <c r="J71" s="6" t="s">
        <v>86</v>
      </c>
      <c r="K71" s="11" t="s">
        <v>87</v>
      </c>
      <c r="L71" s="6" t="str">
        <f>IF(K71="","",INDEX('Remediation Plan'!$B$5:$B$17,MATCH(K71,'Remediation Plan'!$A$5:$A$17,0)))</f>
        <v/>
      </c>
      <c r="M71" s="6" t="s">
        <v>86</v>
      </c>
      <c r="N71" s="6" t="s">
        <v>86</v>
      </c>
      <c r="O71" s="6" t="s">
        <v>191</v>
      </c>
    </row>
    <row r="72" ht="22.8" spans="1:15">
      <c r="A72" s="16" t="s">
        <v>473</v>
      </c>
      <c r="B72" s="6" t="s">
        <v>23</v>
      </c>
      <c r="C72" s="6" t="s">
        <v>474</v>
      </c>
      <c r="D72" s="6" t="s">
        <v>475</v>
      </c>
      <c r="E72" s="11" t="s">
        <v>83</v>
      </c>
      <c r="F72" s="6" t="s">
        <v>476</v>
      </c>
      <c r="G72" s="11" t="s">
        <v>4</v>
      </c>
      <c r="H72" s="6" t="s">
        <v>477</v>
      </c>
      <c r="I72" s="6" t="s">
        <v>86</v>
      </c>
      <c r="J72" s="6" t="s">
        <v>86</v>
      </c>
      <c r="K72" s="11" t="s">
        <v>87</v>
      </c>
      <c r="L72" s="6" t="str">
        <f>IF(K72="","",INDEX('Remediation Plan'!$B$5:$B$17,MATCH(K72,'Remediation Plan'!$A$5:$A$17,0)))</f>
        <v/>
      </c>
      <c r="M72" s="6" t="s">
        <v>478</v>
      </c>
      <c r="N72" s="6" t="s">
        <v>479</v>
      </c>
      <c r="O72" s="6" t="s">
        <v>480</v>
      </c>
    </row>
    <row r="73" ht="45.6" spans="1:15">
      <c r="A73" s="16" t="s">
        <v>481</v>
      </c>
      <c r="B73" s="6" t="s">
        <v>23</v>
      </c>
      <c r="C73" s="6" t="s">
        <v>474</v>
      </c>
      <c r="D73" s="6" t="s">
        <v>482</v>
      </c>
      <c r="E73" s="11" t="s">
        <v>83</v>
      </c>
      <c r="F73" s="6" t="s">
        <v>476</v>
      </c>
      <c r="G73" s="11" t="s">
        <v>4</v>
      </c>
      <c r="H73" s="6" t="s">
        <v>483</v>
      </c>
      <c r="I73" s="6" t="s">
        <v>86</v>
      </c>
      <c r="J73" s="6" t="s">
        <v>86</v>
      </c>
      <c r="K73" s="11" t="s">
        <v>197</v>
      </c>
      <c r="L73" s="6" t="str">
        <f>IF(K73="","",INDEX('Remediation Plan'!$B$5:$B$17,MATCH(K73,'Remediation Plan'!$A$5:$A$17,0)))</f>
        <v>Wave 1 — Align</v>
      </c>
      <c r="M73" s="6" t="s">
        <v>86</v>
      </c>
      <c r="N73" s="6" t="s">
        <v>86</v>
      </c>
      <c r="O73" s="6" t="s">
        <v>484</v>
      </c>
    </row>
    <row r="74" ht="22.8" spans="1:15">
      <c r="A74" s="16" t="s">
        <v>485</v>
      </c>
      <c r="B74" s="6" t="s">
        <v>23</v>
      </c>
      <c r="C74" s="6" t="s">
        <v>474</v>
      </c>
      <c r="D74" s="6" t="s">
        <v>486</v>
      </c>
      <c r="E74" s="11" t="s">
        <v>83</v>
      </c>
      <c r="F74" s="6" t="s">
        <v>476</v>
      </c>
      <c r="G74" s="11" t="s">
        <v>4</v>
      </c>
      <c r="H74" s="6" t="s">
        <v>487</v>
      </c>
      <c r="I74" s="6" t="s">
        <v>86</v>
      </c>
      <c r="J74" s="6" t="s">
        <v>86</v>
      </c>
      <c r="K74" s="11" t="s">
        <v>87</v>
      </c>
      <c r="L74" s="6" t="str">
        <f>IF(K74="","",INDEX('Remediation Plan'!$B$5:$B$17,MATCH(K74,'Remediation Plan'!$A$5:$A$17,0)))</f>
        <v/>
      </c>
      <c r="M74" s="6" t="s">
        <v>488</v>
      </c>
      <c r="N74" s="6" t="s">
        <v>489</v>
      </c>
      <c r="O74" s="6" t="s">
        <v>490</v>
      </c>
    </row>
    <row r="75" ht="34.2" spans="1:15">
      <c r="A75" s="16" t="s">
        <v>491</v>
      </c>
      <c r="B75" s="6" t="s">
        <v>23</v>
      </c>
      <c r="C75" s="6" t="s">
        <v>474</v>
      </c>
      <c r="D75" s="6" t="s">
        <v>492</v>
      </c>
      <c r="E75" s="11" t="s">
        <v>83</v>
      </c>
      <c r="F75" s="6" t="s">
        <v>476</v>
      </c>
      <c r="G75" s="11" t="s">
        <v>4</v>
      </c>
      <c r="H75" s="6" t="s">
        <v>493</v>
      </c>
      <c r="I75" s="6" t="s">
        <v>86</v>
      </c>
      <c r="J75" s="6" t="s">
        <v>86</v>
      </c>
      <c r="K75" s="11" t="s">
        <v>87</v>
      </c>
      <c r="L75" s="6" t="str">
        <f>IF(K75="","",INDEX('Remediation Plan'!$B$5:$B$17,MATCH(K75,'Remediation Plan'!$A$5:$A$17,0)))</f>
        <v/>
      </c>
      <c r="M75" s="6" t="s">
        <v>494</v>
      </c>
      <c r="N75" s="6" t="s">
        <v>495</v>
      </c>
      <c r="O75" s="6" t="s">
        <v>496</v>
      </c>
    </row>
    <row r="76" ht="34.2" spans="1:15">
      <c r="A76" s="16" t="s">
        <v>497</v>
      </c>
      <c r="B76" s="6" t="s">
        <v>23</v>
      </c>
      <c r="C76" s="6" t="s">
        <v>474</v>
      </c>
      <c r="D76" s="6" t="s">
        <v>498</v>
      </c>
      <c r="E76" s="11" t="s">
        <v>83</v>
      </c>
      <c r="F76" s="6" t="s">
        <v>476</v>
      </c>
      <c r="G76" s="11" t="s">
        <v>5</v>
      </c>
      <c r="H76" s="6" t="s">
        <v>499</v>
      </c>
      <c r="I76" s="6" t="s">
        <v>500</v>
      </c>
      <c r="J76" s="6" t="s">
        <v>501</v>
      </c>
      <c r="K76" s="11" t="s">
        <v>435</v>
      </c>
      <c r="L76" s="6" t="str">
        <f>IF(K76="","",INDEX('Remediation Plan'!$B$5:$B$17,MATCH(K76,'Remediation Plan'!$A$5:$A$17,0)))</f>
        <v>Wave 1 — Align</v>
      </c>
      <c r="M76" s="6" t="s">
        <v>502</v>
      </c>
      <c r="N76" s="6" t="s">
        <v>503</v>
      </c>
      <c r="O76" s="6" t="s">
        <v>504</v>
      </c>
    </row>
    <row r="77" ht="34.2" spans="1:15">
      <c r="A77" s="16" t="s">
        <v>505</v>
      </c>
      <c r="B77" s="6" t="s">
        <v>23</v>
      </c>
      <c r="C77" s="6" t="s">
        <v>474</v>
      </c>
      <c r="D77" s="6" t="s">
        <v>506</v>
      </c>
      <c r="E77" s="11" t="s">
        <v>142</v>
      </c>
      <c r="F77" s="6" t="s">
        <v>476</v>
      </c>
      <c r="G77" s="11" t="s">
        <v>4</v>
      </c>
      <c r="H77" s="6" t="s">
        <v>507</v>
      </c>
      <c r="I77" s="6" t="s">
        <v>86</v>
      </c>
      <c r="J77" s="6" t="s">
        <v>86</v>
      </c>
      <c r="K77" s="11" t="s">
        <v>435</v>
      </c>
      <c r="L77" s="6" t="str">
        <f>IF(K77="","",INDEX('Remediation Plan'!$B$5:$B$17,MATCH(K77,'Remediation Plan'!$A$5:$A$17,0)))</f>
        <v>Wave 1 — Align</v>
      </c>
      <c r="M77" s="6" t="s">
        <v>86</v>
      </c>
      <c r="N77" s="6" t="s">
        <v>86</v>
      </c>
      <c r="O77" s="6" t="s">
        <v>508</v>
      </c>
    </row>
    <row r="78" ht="22.8" spans="1:15">
      <c r="A78" s="16" t="s">
        <v>509</v>
      </c>
      <c r="B78" s="6" t="s">
        <v>24</v>
      </c>
      <c r="C78" s="6" t="s">
        <v>510</v>
      </c>
      <c r="D78" s="6" t="s">
        <v>511</v>
      </c>
      <c r="E78" s="11" t="s">
        <v>83</v>
      </c>
      <c r="F78" s="6" t="s">
        <v>512</v>
      </c>
      <c r="G78" s="11" t="s">
        <v>4</v>
      </c>
      <c r="H78" s="6" t="s">
        <v>513</v>
      </c>
      <c r="I78" s="6" t="s">
        <v>86</v>
      </c>
      <c r="J78" s="6" t="s">
        <v>86</v>
      </c>
      <c r="K78" s="11" t="s">
        <v>87</v>
      </c>
      <c r="L78" s="6" t="str">
        <f>IF(K78="","",INDEX('Remediation Plan'!$B$5:$B$17,MATCH(K78,'Remediation Plan'!$A$5:$A$17,0)))</f>
        <v/>
      </c>
      <c r="M78" s="6" t="s">
        <v>86</v>
      </c>
      <c r="N78" s="6" t="s">
        <v>86</v>
      </c>
      <c r="O78" s="6" t="s">
        <v>514</v>
      </c>
    </row>
    <row r="79" ht="34.2" spans="1:15">
      <c r="A79" s="16" t="s">
        <v>515</v>
      </c>
      <c r="B79" s="6" t="s">
        <v>24</v>
      </c>
      <c r="C79" s="6" t="s">
        <v>510</v>
      </c>
      <c r="D79" s="6" t="s">
        <v>516</v>
      </c>
      <c r="E79" s="11" t="s">
        <v>83</v>
      </c>
      <c r="F79" s="6" t="s">
        <v>512</v>
      </c>
      <c r="G79" s="11" t="s">
        <v>5</v>
      </c>
      <c r="H79" s="6" t="s">
        <v>517</v>
      </c>
      <c r="I79" s="6" t="s">
        <v>518</v>
      </c>
      <c r="J79" s="6" t="s">
        <v>519</v>
      </c>
      <c r="K79" s="11" t="s">
        <v>520</v>
      </c>
      <c r="L79" s="6" t="str">
        <f>IF(K79="","",INDEX('Remediation Plan'!$B$5:$B$17,MATCH(K79,'Remediation Plan'!$A$5:$A$17,0)))</f>
        <v>Wave 2 — Field app</v>
      </c>
      <c r="M79" s="6" t="s">
        <v>86</v>
      </c>
      <c r="N79" s="6" t="s">
        <v>86</v>
      </c>
      <c r="O79" s="6" t="s">
        <v>521</v>
      </c>
    </row>
    <row r="80" ht="45.6" spans="1:15">
      <c r="A80" s="16" t="s">
        <v>522</v>
      </c>
      <c r="B80" s="6" t="s">
        <v>24</v>
      </c>
      <c r="C80" s="6" t="s">
        <v>510</v>
      </c>
      <c r="D80" s="6" t="s">
        <v>523</v>
      </c>
      <c r="E80" s="11" t="s">
        <v>83</v>
      </c>
      <c r="F80" s="6" t="s">
        <v>512</v>
      </c>
      <c r="G80" s="11" t="s">
        <v>5</v>
      </c>
      <c r="H80" s="6" t="s">
        <v>524</v>
      </c>
      <c r="I80" s="6" t="s">
        <v>525</v>
      </c>
      <c r="J80" s="6" t="s">
        <v>526</v>
      </c>
      <c r="K80" s="11" t="s">
        <v>520</v>
      </c>
      <c r="L80" s="6" t="str">
        <f>IF(K80="","",INDEX('Remediation Plan'!$B$5:$B$17,MATCH(K80,'Remediation Plan'!$A$5:$A$17,0)))</f>
        <v>Wave 2 — Field app</v>
      </c>
      <c r="M80" s="6" t="s">
        <v>527</v>
      </c>
      <c r="N80" s="6" t="s">
        <v>528</v>
      </c>
      <c r="O80" s="6" t="s">
        <v>529</v>
      </c>
    </row>
    <row r="81" ht="45.6" spans="1:15">
      <c r="A81" s="16" t="s">
        <v>530</v>
      </c>
      <c r="B81" s="6" t="s">
        <v>24</v>
      </c>
      <c r="C81" s="6" t="s">
        <v>510</v>
      </c>
      <c r="D81" s="6" t="s">
        <v>531</v>
      </c>
      <c r="E81" s="11" t="s">
        <v>83</v>
      </c>
      <c r="F81" s="6" t="s">
        <v>512</v>
      </c>
      <c r="G81" s="11" t="s">
        <v>5</v>
      </c>
      <c r="H81" s="6" t="s">
        <v>532</v>
      </c>
      <c r="I81" s="6" t="s">
        <v>533</v>
      </c>
      <c r="J81" s="6" t="s">
        <v>534</v>
      </c>
      <c r="K81" s="11" t="s">
        <v>535</v>
      </c>
      <c r="L81" s="6" t="str">
        <f>IF(K81="","",INDEX('Remediation Plan'!$B$5:$B$17,MATCH(K81,'Remediation Plan'!$A$5:$A$17,0)))</f>
        <v>Wave 1 — Align</v>
      </c>
      <c r="M81" s="6" t="s">
        <v>536</v>
      </c>
      <c r="N81" s="6" t="s">
        <v>537</v>
      </c>
      <c r="O81" s="6" t="s">
        <v>538</v>
      </c>
    </row>
    <row r="82" ht="22.8" spans="1:15">
      <c r="A82" s="16" t="s">
        <v>539</v>
      </c>
      <c r="B82" s="6" t="s">
        <v>24</v>
      </c>
      <c r="C82" s="6" t="s">
        <v>540</v>
      </c>
      <c r="D82" s="6" t="s">
        <v>541</v>
      </c>
      <c r="E82" s="11" t="s">
        <v>83</v>
      </c>
      <c r="F82" s="6" t="s">
        <v>542</v>
      </c>
      <c r="G82" s="11" t="s">
        <v>4</v>
      </c>
      <c r="H82" s="6" t="s">
        <v>543</v>
      </c>
      <c r="I82" s="6" t="s">
        <v>86</v>
      </c>
      <c r="J82" s="6" t="s">
        <v>86</v>
      </c>
      <c r="K82" s="11" t="s">
        <v>87</v>
      </c>
      <c r="L82" s="6" t="str">
        <f>IF(K82="","",INDEX('Remediation Plan'!$B$5:$B$17,MATCH(K82,'Remediation Plan'!$A$5:$A$17,0)))</f>
        <v/>
      </c>
      <c r="M82" s="6" t="s">
        <v>86</v>
      </c>
      <c r="N82" s="6" t="s">
        <v>86</v>
      </c>
      <c r="O82" s="6" t="s">
        <v>544</v>
      </c>
    </row>
    <row r="83" ht="22.8" spans="1:15">
      <c r="A83" s="16" t="s">
        <v>545</v>
      </c>
      <c r="B83" s="6" t="s">
        <v>24</v>
      </c>
      <c r="C83" s="6" t="s">
        <v>540</v>
      </c>
      <c r="D83" s="6" t="s">
        <v>546</v>
      </c>
      <c r="E83" s="11" t="s">
        <v>83</v>
      </c>
      <c r="F83" s="6" t="s">
        <v>542</v>
      </c>
      <c r="G83" s="11" t="s">
        <v>4</v>
      </c>
      <c r="H83" s="6" t="s">
        <v>547</v>
      </c>
      <c r="I83" s="6" t="s">
        <v>86</v>
      </c>
      <c r="J83" s="6" t="s">
        <v>86</v>
      </c>
      <c r="K83" s="11" t="s">
        <v>87</v>
      </c>
      <c r="L83" s="6" t="str">
        <f>IF(K83="","",INDEX('Remediation Plan'!$B$5:$B$17,MATCH(K83,'Remediation Plan'!$A$5:$A$17,0)))</f>
        <v/>
      </c>
      <c r="M83" s="6" t="s">
        <v>536</v>
      </c>
      <c r="N83" s="6" t="s">
        <v>537</v>
      </c>
      <c r="O83" s="6" t="s">
        <v>548</v>
      </c>
    </row>
    <row r="84" ht="34.2" spans="1:15">
      <c r="A84" s="16" t="s">
        <v>549</v>
      </c>
      <c r="B84" s="6" t="s">
        <v>24</v>
      </c>
      <c r="C84" s="6" t="s">
        <v>540</v>
      </c>
      <c r="D84" s="6" t="s">
        <v>550</v>
      </c>
      <c r="E84" s="11" t="s">
        <v>83</v>
      </c>
      <c r="F84" s="6" t="s">
        <v>542</v>
      </c>
      <c r="G84" s="11" t="s">
        <v>4</v>
      </c>
      <c r="H84" s="6" t="s">
        <v>551</v>
      </c>
      <c r="I84" s="6" t="s">
        <v>86</v>
      </c>
      <c r="J84" s="6" t="s">
        <v>86</v>
      </c>
      <c r="K84" s="11" t="s">
        <v>520</v>
      </c>
      <c r="L84" s="6" t="str">
        <f>IF(K84="","",INDEX('Remediation Plan'!$B$5:$B$17,MATCH(K84,'Remediation Plan'!$A$5:$A$17,0)))</f>
        <v>Wave 2 — Field app</v>
      </c>
      <c r="M84" s="6" t="s">
        <v>552</v>
      </c>
      <c r="N84" s="6" t="s">
        <v>553</v>
      </c>
      <c r="O84" s="6" t="s">
        <v>554</v>
      </c>
    </row>
    <row r="85" ht="34.2" spans="1:15">
      <c r="A85" s="16" t="s">
        <v>555</v>
      </c>
      <c r="B85" s="6" t="s">
        <v>24</v>
      </c>
      <c r="C85" s="6" t="s">
        <v>540</v>
      </c>
      <c r="D85" s="6" t="s">
        <v>556</v>
      </c>
      <c r="E85" s="11" t="s">
        <v>83</v>
      </c>
      <c r="F85" s="6" t="s">
        <v>542</v>
      </c>
      <c r="G85" s="11" t="s">
        <v>5</v>
      </c>
      <c r="H85" s="6" t="s">
        <v>557</v>
      </c>
      <c r="I85" s="6" t="s">
        <v>558</v>
      </c>
      <c r="J85" s="6" t="s">
        <v>559</v>
      </c>
      <c r="K85" s="11" t="s">
        <v>520</v>
      </c>
      <c r="L85" s="6" t="str">
        <f>IF(K85="","",INDEX('Remediation Plan'!$B$5:$B$17,MATCH(K85,'Remediation Plan'!$A$5:$A$17,0)))</f>
        <v>Wave 2 — Field app</v>
      </c>
      <c r="M85" s="6" t="s">
        <v>86</v>
      </c>
      <c r="N85" s="6" t="s">
        <v>86</v>
      </c>
      <c r="O85" s="6" t="s">
        <v>560</v>
      </c>
    </row>
    <row r="86" ht="45.6" spans="1:15">
      <c r="A86" s="16" t="s">
        <v>561</v>
      </c>
      <c r="B86" s="6" t="s">
        <v>24</v>
      </c>
      <c r="C86" s="6" t="s">
        <v>540</v>
      </c>
      <c r="D86" s="6" t="s">
        <v>562</v>
      </c>
      <c r="E86" s="11" t="s">
        <v>83</v>
      </c>
      <c r="F86" s="6" t="s">
        <v>542</v>
      </c>
      <c r="G86" s="11" t="s">
        <v>4</v>
      </c>
      <c r="H86" s="6" t="s">
        <v>563</v>
      </c>
      <c r="I86" s="6" t="s">
        <v>86</v>
      </c>
      <c r="J86" s="6" t="s">
        <v>86</v>
      </c>
      <c r="K86" s="11" t="s">
        <v>564</v>
      </c>
      <c r="L86" s="6" t="str">
        <f>IF(K86="","",INDEX('Remediation Plan'!$B$5:$B$17,MATCH(K86,'Remediation Plan'!$A$5:$A$17,0)))</f>
        <v>Wave 2 — Field app</v>
      </c>
      <c r="M86" s="6" t="s">
        <v>86</v>
      </c>
      <c r="N86" s="6" t="s">
        <v>86</v>
      </c>
      <c r="O86" s="6" t="s">
        <v>565</v>
      </c>
    </row>
    <row r="87" ht="34.2" spans="1:15">
      <c r="A87" s="16" t="s">
        <v>566</v>
      </c>
      <c r="B87" s="6" t="s">
        <v>24</v>
      </c>
      <c r="C87" s="6" t="s">
        <v>540</v>
      </c>
      <c r="D87" s="6" t="s">
        <v>567</v>
      </c>
      <c r="E87" s="11" t="s">
        <v>142</v>
      </c>
      <c r="F87" s="6" t="s">
        <v>542</v>
      </c>
      <c r="G87" s="11" t="s">
        <v>4</v>
      </c>
      <c r="H87" s="6" t="s">
        <v>568</v>
      </c>
      <c r="I87" s="6" t="s">
        <v>86</v>
      </c>
      <c r="J87" s="6" t="s">
        <v>86</v>
      </c>
      <c r="K87" s="11" t="s">
        <v>87</v>
      </c>
      <c r="L87" s="6" t="str">
        <f>IF(K87="","",INDEX('Remediation Plan'!$B$5:$B$17,MATCH(K87,'Remediation Plan'!$A$5:$A$17,0)))</f>
        <v/>
      </c>
      <c r="M87" s="6" t="s">
        <v>86</v>
      </c>
      <c r="N87" s="6" t="s">
        <v>86</v>
      </c>
      <c r="O87" s="6" t="s">
        <v>569</v>
      </c>
    </row>
    <row r="88" ht="34.2" spans="1:15">
      <c r="A88" s="16" t="s">
        <v>570</v>
      </c>
      <c r="B88" s="6" t="s">
        <v>24</v>
      </c>
      <c r="C88" s="6" t="s">
        <v>540</v>
      </c>
      <c r="D88" s="6" t="s">
        <v>571</v>
      </c>
      <c r="E88" s="11" t="s">
        <v>83</v>
      </c>
      <c r="F88" s="6" t="s">
        <v>542</v>
      </c>
      <c r="G88" s="11" t="s">
        <v>5</v>
      </c>
      <c r="H88" s="6" t="s">
        <v>572</v>
      </c>
      <c r="I88" s="6" t="s">
        <v>573</v>
      </c>
      <c r="J88" s="6" t="s">
        <v>574</v>
      </c>
      <c r="K88" s="11" t="s">
        <v>520</v>
      </c>
      <c r="L88" s="6" t="str">
        <f>IF(K88="","",INDEX('Remediation Plan'!$B$5:$B$17,MATCH(K88,'Remediation Plan'!$A$5:$A$17,0)))</f>
        <v>Wave 2 — Field app</v>
      </c>
      <c r="M88" s="6" t="s">
        <v>86</v>
      </c>
      <c r="N88" s="6" t="s">
        <v>86</v>
      </c>
      <c r="O88" s="6" t="s">
        <v>575</v>
      </c>
    </row>
    <row r="89" ht="45.6" spans="1:15">
      <c r="A89" s="16" t="s">
        <v>576</v>
      </c>
      <c r="B89" s="6" t="s">
        <v>24</v>
      </c>
      <c r="C89" s="6" t="s">
        <v>577</v>
      </c>
      <c r="D89" s="6" t="s">
        <v>578</v>
      </c>
      <c r="E89" s="11" t="s">
        <v>83</v>
      </c>
      <c r="F89" s="6" t="s">
        <v>542</v>
      </c>
      <c r="G89" s="11" t="s">
        <v>4</v>
      </c>
      <c r="H89" s="6" t="s">
        <v>579</v>
      </c>
      <c r="I89" s="6" t="s">
        <v>86</v>
      </c>
      <c r="J89" s="6" t="s">
        <v>86</v>
      </c>
      <c r="K89" s="11" t="s">
        <v>520</v>
      </c>
      <c r="L89" s="6" t="str">
        <f>IF(K89="","",INDEX('Remediation Plan'!$B$5:$B$17,MATCH(K89,'Remediation Plan'!$A$5:$A$17,0)))</f>
        <v>Wave 2 — Field app</v>
      </c>
      <c r="M89" s="6" t="s">
        <v>580</v>
      </c>
      <c r="N89" s="6" t="s">
        <v>581</v>
      </c>
      <c r="O89" s="6" t="s">
        <v>582</v>
      </c>
    </row>
    <row r="90" ht="34.2" spans="1:15">
      <c r="A90" s="16" t="s">
        <v>583</v>
      </c>
      <c r="B90" s="6" t="s">
        <v>24</v>
      </c>
      <c r="C90" s="6" t="s">
        <v>577</v>
      </c>
      <c r="D90" s="6" t="s">
        <v>584</v>
      </c>
      <c r="E90" s="11" t="s">
        <v>83</v>
      </c>
      <c r="F90" s="6" t="s">
        <v>542</v>
      </c>
      <c r="G90" s="11" t="s">
        <v>4</v>
      </c>
      <c r="H90" s="6" t="s">
        <v>585</v>
      </c>
      <c r="I90" s="6" t="s">
        <v>86</v>
      </c>
      <c r="J90" s="6" t="s">
        <v>86</v>
      </c>
      <c r="K90" s="11" t="s">
        <v>520</v>
      </c>
      <c r="L90" s="6" t="str">
        <f>IF(K90="","",INDEX('Remediation Plan'!$B$5:$B$17,MATCH(K90,'Remediation Plan'!$A$5:$A$17,0)))</f>
        <v>Wave 2 — Field app</v>
      </c>
      <c r="M90" s="6" t="s">
        <v>580</v>
      </c>
      <c r="N90" s="6" t="s">
        <v>581</v>
      </c>
      <c r="O90" s="6" t="s">
        <v>586</v>
      </c>
    </row>
    <row r="91" ht="34.2" spans="1:15">
      <c r="A91" s="16" t="s">
        <v>587</v>
      </c>
      <c r="B91" s="6" t="s">
        <v>24</v>
      </c>
      <c r="C91" s="6" t="s">
        <v>577</v>
      </c>
      <c r="D91" s="6" t="s">
        <v>588</v>
      </c>
      <c r="E91" s="11" t="s">
        <v>83</v>
      </c>
      <c r="F91" s="6" t="s">
        <v>542</v>
      </c>
      <c r="G91" s="11" t="s">
        <v>4</v>
      </c>
      <c r="H91" s="6" t="s">
        <v>589</v>
      </c>
      <c r="I91" s="6" t="s">
        <v>86</v>
      </c>
      <c r="J91" s="6" t="s">
        <v>86</v>
      </c>
      <c r="K91" s="11" t="s">
        <v>87</v>
      </c>
      <c r="L91" s="6" t="str">
        <f>IF(K91="","",INDEX('Remediation Plan'!$B$5:$B$17,MATCH(K91,'Remediation Plan'!$A$5:$A$17,0)))</f>
        <v/>
      </c>
      <c r="M91" s="6" t="s">
        <v>86</v>
      </c>
      <c r="N91" s="6" t="s">
        <v>86</v>
      </c>
      <c r="O91" s="6" t="s">
        <v>590</v>
      </c>
    </row>
    <row r="92" ht="34.2" spans="1:15">
      <c r="A92" s="16" t="s">
        <v>591</v>
      </c>
      <c r="B92" s="6" t="s">
        <v>26</v>
      </c>
      <c r="C92" s="6" t="s">
        <v>592</v>
      </c>
      <c r="D92" s="6" t="s">
        <v>593</v>
      </c>
      <c r="E92" s="11" t="s">
        <v>83</v>
      </c>
      <c r="F92" s="6" t="s">
        <v>542</v>
      </c>
      <c r="G92" s="11" t="s">
        <v>5</v>
      </c>
      <c r="H92" s="6" t="s">
        <v>594</v>
      </c>
      <c r="I92" s="6" t="s">
        <v>595</v>
      </c>
      <c r="J92" s="6" t="s">
        <v>596</v>
      </c>
      <c r="K92" s="11" t="s">
        <v>535</v>
      </c>
      <c r="L92" s="6" t="str">
        <f>IF(K92="","",INDEX('Remediation Plan'!$B$5:$B$17,MATCH(K92,'Remediation Plan'!$A$5:$A$17,0)))</f>
        <v>Wave 1 — Align</v>
      </c>
      <c r="M92" s="6" t="s">
        <v>527</v>
      </c>
      <c r="N92" s="6" t="s">
        <v>528</v>
      </c>
      <c r="O92" s="6" t="s">
        <v>597</v>
      </c>
    </row>
    <row r="93" ht="34.2" spans="1:15">
      <c r="A93" s="16" t="s">
        <v>598</v>
      </c>
      <c r="B93" s="6" t="s">
        <v>26</v>
      </c>
      <c r="C93" s="6" t="s">
        <v>592</v>
      </c>
      <c r="D93" s="6" t="s">
        <v>599</v>
      </c>
      <c r="E93" s="11" t="s">
        <v>83</v>
      </c>
      <c r="F93" s="6" t="s">
        <v>542</v>
      </c>
      <c r="G93" s="11" t="s">
        <v>5</v>
      </c>
      <c r="H93" s="6" t="s">
        <v>600</v>
      </c>
      <c r="I93" s="6" t="s">
        <v>601</v>
      </c>
      <c r="J93" s="6" t="s">
        <v>602</v>
      </c>
      <c r="K93" s="11" t="s">
        <v>535</v>
      </c>
      <c r="L93" s="6" t="str">
        <f>IF(K93="","",INDEX('Remediation Plan'!$B$5:$B$17,MATCH(K93,'Remediation Plan'!$A$5:$A$17,0)))</f>
        <v>Wave 1 — Align</v>
      </c>
      <c r="M93" s="6" t="s">
        <v>603</v>
      </c>
      <c r="N93" s="6" t="s">
        <v>604</v>
      </c>
      <c r="O93" s="6" t="s">
        <v>605</v>
      </c>
    </row>
    <row r="94" ht="22.8" spans="1:15">
      <c r="A94" s="16" t="s">
        <v>606</v>
      </c>
      <c r="B94" s="6" t="s">
        <v>26</v>
      </c>
      <c r="C94" s="6" t="s">
        <v>592</v>
      </c>
      <c r="D94" s="6" t="s">
        <v>607</v>
      </c>
      <c r="E94" s="11" t="s">
        <v>83</v>
      </c>
      <c r="F94" s="6" t="s">
        <v>542</v>
      </c>
      <c r="G94" s="11" t="s">
        <v>4</v>
      </c>
      <c r="H94" s="6" t="s">
        <v>608</v>
      </c>
      <c r="I94" s="6" t="s">
        <v>86</v>
      </c>
      <c r="J94" s="6" t="s">
        <v>86</v>
      </c>
      <c r="K94" s="11" t="s">
        <v>87</v>
      </c>
      <c r="L94" s="6" t="str">
        <f>IF(K94="","",INDEX('Remediation Plan'!$B$5:$B$17,MATCH(K94,'Remediation Plan'!$A$5:$A$17,0)))</f>
        <v/>
      </c>
      <c r="M94" s="6" t="s">
        <v>609</v>
      </c>
      <c r="N94" s="6" t="s">
        <v>610</v>
      </c>
      <c r="O94" s="6" t="s">
        <v>611</v>
      </c>
    </row>
    <row r="95" ht="45.6" spans="1:15">
      <c r="A95" s="16" t="s">
        <v>612</v>
      </c>
      <c r="B95" s="6" t="s">
        <v>26</v>
      </c>
      <c r="C95" s="6" t="s">
        <v>592</v>
      </c>
      <c r="D95" s="6" t="s">
        <v>613</v>
      </c>
      <c r="E95" s="11" t="s">
        <v>83</v>
      </c>
      <c r="F95" s="6" t="s">
        <v>542</v>
      </c>
      <c r="G95" s="11" t="s">
        <v>5</v>
      </c>
      <c r="H95" s="6" t="s">
        <v>614</v>
      </c>
      <c r="I95" s="6" t="s">
        <v>615</v>
      </c>
      <c r="J95" s="6" t="s">
        <v>616</v>
      </c>
      <c r="K95" s="11" t="s">
        <v>535</v>
      </c>
      <c r="L95" s="6" t="str">
        <f>IF(K95="","",INDEX('Remediation Plan'!$B$5:$B$17,MATCH(K95,'Remediation Plan'!$A$5:$A$17,0)))</f>
        <v>Wave 1 — Align</v>
      </c>
      <c r="M95" s="6" t="s">
        <v>86</v>
      </c>
      <c r="N95" s="6" t="s">
        <v>86</v>
      </c>
      <c r="O95" s="6" t="s">
        <v>617</v>
      </c>
    </row>
    <row r="96" ht="34.2" spans="1:15">
      <c r="A96" s="16" t="s">
        <v>618</v>
      </c>
      <c r="B96" s="6" t="s">
        <v>26</v>
      </c>
      <c r="C96" s="6" t="s">
        <v>619</v>
      </c>
      <c r="D96" s="6" t="s">
        <v>620</v>
      </c>
      <c r="E96" s="11" t="s">
        <v>83</v>
      </c>
      <c r="F96" s="6" t="s">
        <v>542</v>
      </c>
      <c r="G96" s="11" t="s">
        <v>5</v>
      </c>
      <c r="H96" s="6" t="s">
        <v>621</v>
      </c>
      <c r="I96" s="6" t="s">
        <v>622</v>
      </c>
      <c r="J96" s="6" t="s">
        <v>623</v>
      </c>
      <c r="K96" s="11" t="s">
        <v>535</v>
      </c>
      <c r="L96" s="6" t="str">
        <f>IF(K96="","",INDEX('Remediation Plan'!$B$5:$B$17,MATCH(K96,'Remediation Plan'!$A$5:$A$17,0)))</f>
        <v>Wave 1 — Align</v>
      </c>
      <c r="M96" s="6" t="s">
        <v>86</v>
      </c>
      <c r="N96" s="6" t="s">
        <v>86</v>
      </c>
      <c r="O96" s="6" t="s">
        <v>624</v>
      </c>
    </row>
    <row r="97" ht="45.6" spans="1:15">
      <c r="A97" s="16" t="s">
        <v>625</v>
      </c>
      <c r="B97" s="6" t="s">
        <v>26</v>
      </c>
      <c r="C97" s="6" t="s">
        <v>619</v>
      </c>
      <c r="D97" s="6" t="s">
        <v>626</v>
      </c>
      <c r="E97" s="11" t="s">
        <v>83</v>
      </c>
      <c r="F97" s="6" t="s">
        <v>542</v>
      </c>
      <c r="G97" s="11" t="s">
        <v>5</v>
      </c>
      <c r="H97" s="6" t="s">
        <v>627</v>
      </c>
      <c r="I97" s="6" t="s">
        <v>628</v>
      </c>
      <c r="J97" s="6" t="s">
        <v>629</v>
      </c>
      <c r="K97" s="11" t="s">
        <v>535</v>
      </c>
      <c r="L97" s="6" t="str">
        <f>IF(K97="","",INDEX('Remediation Plan'!$B$5:$B$17,MATCH(K97,'Remediation Plan'!$A$5:$A$17,0)))</f>
        <v>Wave 1 — Align</v>
      </c>
      <c r="M97" s="6" t="s">
        <v>630</v>
      </c>
      <c r="N97" s="6" t="s">
        <v>631</v>
      </c>
      <c r="O97" s="6" t="s">
        <v>632</v>
      </c>
    </row>
    <row r="98" ht="34.2" spans="1:15">
      <c r="A98" s="16" t="s">
        <v>633</v>
      </c>
      <c r="B98" s="6" t="s">
        <v>26</v>
      </c>
      <c r="C98" s="6" t="s">
        <v>619</v>
      </c>
      <c r="D98" s="6" t="s">
        <v>634</v>
      </c>
      <c r="E98" s="11" t="s">
        <v>142</v>
      </c>
      <c r="F98" s="6" t="s">
        <v>542</v>
      </c>
      <c r="G98" s="11" t="s">
        <v>4</v>
      </c>
      <c r="H98" s="6" t="s">
        <v>635</v>
      </c>
      <c r="I98" s="6" t="s">
        <v>86</v>
      </c>
      <c r="J98" s="6" t="s">
        <v>86</v>
      </c>
      <c r="K98" s="11" t="s">
        <v>535</v>
      </c>
      <c r="L98" s="6" t="str">
        <f>IF(K98="","",INDEX('Remediation Plan'!$B$5:$B$17,MATCH(K98,'Remediation Plan'!$A$5:$A$17,0)))</f>
        <v>Wave 1 — Align</v>
      </c>
      <c r="M98" s="6" t="s">
        <v>86</v>
      </c>
      <c r="N98" s="6" t="s">
        <v>86</v>
      </c>
      <c r="O98" s="6" t="s">
        <v>636</v>
      </c>
    </row>
    <row r="99" ht="22.8" spans="1:15">
      <c r="A99" s="16" t="s">
        <v>637</v>
      </c>
      <c r="B99" s="6" t="s">
        <v>26</v>
      </c>
      <c r="C99" s="6" t="s">
        <v>619</v>
      </c>
      <c r="D99" s="6" t="s">
        <v>638</v>
      </c>
      <c r="E99" s="11" t="s">
        <v>83</v>
      </c>
      <c r="F99" s="6" t="s">
        <v>542</v>
      </c>
      <c r="G99" s="11" t="s">
        <v>4</v>
      </c>
      <c r="H99" s="6" t="s">
        <v>639</v>
      </c>
      <c r="I99" s="6" t="s">
        <v>86</v>
      </c>
      <c r="J99" s="6" t="s">
        <v>86</v>
      </c>
      <c r="K99" s="11" t="s">
        <v>87</v>
      </c>
      <c r="L99" s="6" t="str">
        <f>IF(K99="","",INDEX('Remediation Plan'!$B$5:$B$17,MATCH(K99,'Remediation Plan'!$A$5:$A$17,0)))</f>
        <v/>
      </c>
      <c r="M99" s="6" t="s">
        <v>630</v>
      </c>
      <c r="N99" s="6" t="s">
        <v>631</v>
      </c>
      <c r="O99" s="6" t="s">
        <v>490</v>
      </c>
    </row>
    <row r="100" ht="34.2" spans="1:15">
      <c r="A100" s="16" t="s">
        <v>640</v>
      </c>
      <c r="B100" s="6" t="s">
        <v>26</v>
      </c>
      <c r="C100" s="6" t="s">
        <v>619</v>
      </c>
      <c r="D100" s="6" t="s">
        <v>641</v>
      </c>
      <c r="E100" s="11" t="s">
        <v>83</v>
      </c>
      <c r="F100" s="6" t="s">
        <v>542</v>
      </c>
      <c r="G100" s="11" t="s">
        <v>4</v>
      </c>
      <c r="H100" s="6" t="s">
        <v>642</v>
      </c>
      <c r="I100" s="6" t="s">
        <v>86</v>
      </c>
      <c r="J100" s="6" t="s">
        <v>86</v>
      </c>
      <c r="K100" s="11" t="s">
        <v>87</v>
      </c>
      <c r="L100" s="6" t="str">
        <f>IF(K100="","",INDEX('Remediation Plan'!$B$5:$B$17,MATCH(K100,'Remediation Plan'!$A$5:$A$17,0)))</f>
        <v/>
      </c>
      <c r="M100" s="6" t="s">
        <v>643</v>
      </c>
      <c r="N100" s="6" t="s">
        <v>644</v>
      </c>
      <c r="O100" s="6" t="s">
        <v>645</v>
      </c>
    </row>
    <row r="101" ht="34.2" spans="1:15">
      <c r="A101" s="16" t="s">
        <v>646</v>
      </c>
      <c r="B101" s="6" t="s">
        <v>26</v>
      </c>
      <c r="C101" s="6" t="s">
        <v>619</v>
      </c>
      <c r="D101" s="6" t="s">
        <v>647</v>
      </c>
      <c r="E101" s="11" t="s">
        <v>142</v>
      </c>
      <c r="F101" s="6" t="s">
        <v>542</v>
      </c>
      <c r="G101" s="11" t="s">
        <v>4</v>
      </c>
      <c r="H101" s="6" t="s">
        <v>648</v>
      </c>
      <c r="I101" s="6" t="s">
        <v>86</v>
      </c>
      <c r="J101" s="6" t="s">
        <v>86</v>
      </c>
      <c r="K101" s="11" t="s">
        <v>310</v>
      </c>
      <c r="L101" s="6" t="str">
        <f>IF(K101="","",INDEX('Remediation Plan'!$B$5:$B$17,MATCH(K101,'Remediation Plan'!$A$5:$A$17,0)))</f>
        <v>Wave 4 — Notify &amp; report</v>
      </c>
      <c r="M101" s="6" t="s">
        <v>86</v>
      </c>
      <c r="N101" s="6" t="s">
        <v>86</v>
      </c>
      <c r="O101" s="6" t="s">
        <v>649</v>
      </c>
    </row>
    <row r="102" ht="45.6" spans="1:15">
      <c r="A102" s="16" t="s">
        <v>650</v>
      </c>
      <c r="B102" s="6" t="s">
        <v>26</v>
      </c>
      <c r="C102" s="6" t="s">
        <v>619</v>
      </c>
      <c r="D102" s="6" t="s">
        <v>651</v>
      </c>
      <c r="E102" s="11" t="s">
        <v>83</v>
      </c>
      <c r="F102" s="6" t="s">
        <v>542</v>
      </c>
      <c r="G102" s="11" t="s">
        <v>4</v>
      </c>
      <c r="H102" s="6" t="s">
        <v>652</v>
      </c>
      <c r="I102" s="6" t="s">
        <v>86</v>
      </c>
      <c r="J102" s="6" t="s">
        <v>86</v>
      </c>
      <c r="K102" s="11" t="s">
        <v>280</v>
      </c>
      <c r="L102" s="6" t="str">
        <f>IF(K102="","",INDEX('Remediation Plan'!$B$5:$B$17,MATCH(K102,'Remediation Plan'!$A$5:$A$17,0)))</f>
        <v>Wave 3 — Stock control</v>
      </c>
      <c r="M102" s="6" t="s">
        <v>86</v>
      </c>
      <c r="N102" s="6" t="s">
        <v>86</v>
      </c>
      <c r="O102" s="6" t="s">
        <v>653</v>
      </c>
    </row>
    <row r="103" ht="22.8" spans="1:15">
      <c r="A103" s="16" t="s">
        <v>654</v>
      </c>
      <c r="B103" s="6" t="s">
        <v>28</v>
      </c>
      <c r="C103" s="6" t="s">
        <v>655</v>
      </c>
      <c r="D103" s="6" t="s">
        <v>656</v>
      </c>
      <c r="E103" s="11" t="s">
        <v>83</v>
      </c>
      <c r="F103" s="6" t="s">
        <v>187</v>
      </c>
      <c r="G103" s="11" t="s">
        <v>4</v>
      </c>
      <c r="H103" s="6" t="s">
        <v>657</v>
      </c>
      <c r="I103" s="6" t="s">
        <v>86</v>
      </c>
      <c r="J103" s="6" t="s">
        <v>86</v>
      </c>
      <c r="K103" s="11" t="s">
        <v>87</v>
      </c>
      <c r="L103" s="6" t="str">
        <f>IF(K103="","",INDEX('Remediation Plan'!$B$5:$B$17,MATCH(K103,'Remediation Plan'!$A$5:$A$17,0)))</f>
        <v/>
      </c>
      <c r="M103" s="6" t="s">
        <v>86</v>
      </c>
      <c r="N103" s="6" t="s">
        <v>86</v>
      </c>
      <c r="O103" s="6" t="s">
        <v>658</v>
      </c>
    </row>
    <row r="104" ht="22.8" spans="1:15">
      <c r="A104" s="16" t="s">
        <v>659</v>
      </c>
      <c r="B104" s="6" t="s">
        <v>28</v>
      </c>
      <c r="C104" s="6" t="s">
        <v>655</v>
      </c>
      <c r="D104" s="6" t="s">
        <v>660</v>
      </c>
      <c r="E104" s="11" t="s">
        <v>83</v>
      </c>
      <c r="F104" s="6" t="s">
        <v>187</v>
      </c>
      <c r="G104" s="11" t="s">
        <v>5</v>
      </c>
      <c r="H104" s="6" t="s">
        <v>661</v>
      </c>
      <c r="I104" s="6" t="s">
        <v>662</v>
      </c>
      <c r="J104" s="6" t="s">
        <v>663</v>
      </c>
      <c r="K104" s="11" t="s">
        <v>409</v>
      </c>
      <c r="L104" s="6" t="str">
        <f>IF(K104="","",INDEX('Remediation Plan'!$B$5:$B$17,MATCH(K104,'Remediation Plan'!$A$5:$A$17,0)))</f>
        <v>Wave 4 — Notify &amp; report</v>
      </c>
      <c r="M104" s="6" t="s">
        <v>86</v>
      </c>
      <c r="N104" s="6" t="s">
        <v>86</v>
      </c>
      <c r="O104" s="6" t="s">
        <v>664</v>
      </c>
    </row>
    <row r="105" ht="34.2" spans="1:15">
      <c r="A105" s="16" t="s">
        <v>665</v>
      </c>
      <c r="B105" s="6" t="s">
        <v>28</v>
      </c>
      <c r="C105" s="6" t="s">
        <v>655</v>
      </c>
      <c r="D105" s="6" t="s">
        <v>666</v>
      </c>
      <c r="E105" s="11" t="s">
        <v>83</v>
      </c>
      <c r="F105" s="6" t="s">
        <v>187</v>
      </c>
      <c r="G105" s="11" t="s">
        <v>5</v>
      </c>
      <c r="H105" s="6" t="s">
        <v>667</v>
      </c>
      <c r="I105" s="6" t="s">
        <v>668</v>
      </c>
      <c r="J105" s="6" t="s">
        <v>669</v>
      </c>
      <c r="K105" s="11" t="s">
        <v>409</v>
      </c>
      <c r="L105" s="6" t="str">
        <f>IF(K105="","",INDEX('Remediation Plan'!$B$5:$B$17,MATCH(K105,'Remediation Plan'!$A$5:$A$17,0)))</f>
        <v>Wave 4 — Notify &amp; report</v>
      </c>
      <c r="M105" s="6" t="s">
        <v>86</v>
      </c>
      <c r="N105" s="6" t="s">
        <v>86</v>
      </c>
      <c r="O105" s="6" t="s">
        <v>670</v>
      </c>
    </row>
    <row r="106" ht="45.6" spans="1:15">
      <c r="A106" s="16" t="s">
        <v>671</v>
      </c>
      <c r="B106" s="6" t="s">
        <v>28</v>
      </c>
      <c r="C106" s="6" t="s">
        <v>655</v>
      </c>
      <c r="D106" s="6" t="s">
        <v>672</v>
      </c>
      <c r="E106" s="11" t="s">
        <v>83</v>
      </c>
      <c r="F106" s="6" t="s">
        <v>187</v>
      </c>
      <c r="G106" s="11" t="s">
        <v>5</v>
      </c>
      <c r="H106" s="6" t="s">
        <v>673</v>
      </c>
      <c r="I106" s="6" t="s">
        <v>674</v>
      </c>
      <c r="J106" s="6" t="s">
        <v>675</v>
      </c>
      <c r="K106" s="11" t="s">
        <v>409</v>
      </c>
      <c r="L106" s="6" t="str">
        <f>IF(K106="","",INDEX('Remediation Plan'!$B$5:$B$17,MATCH(K106,'Remediation Plan'!$A$5:$A$17,0)))</f>
        <v>Wave 4 — Notify &amp; report</v>
      </c>
      <c r="M106" s="6" t="s">
        <v>86</v>
      </c>
      <c r="N106" s="6" t="s">
        <v>86</v>
      </c>
      <c r="O106" s="6" t="s">
        <v>676</v>
      </c>
    </row>
    <row r="107" ht="34.2" spans="1:15">
      <c r="A107" s="16" t="s">
        <v>677</v>
      </c>
      <c r="B107" s="6" t="s">
        <v>28</v>
      </c>
      <c r="C107" s="6" t="s">
        <v>655</v>
      </c>
      <c r="D107" s="6" t="s">
        <v>678</v>
      </c>
      <c r="E107" s="11" t="s">
        <v>83</v>
      </c>
      <c r="F107" s="6" t="s">
        <v>187</v>
      </c>
      <c r="G107" s="11" t="s">
        <v>4</v>
      </c>
      <c r="H107" s="6" t="s">
        <v>679</v>
      </c>
      <c r="I107" s="6" t="s">
        <v>86</v>
      </c>
      <c r="J107" s="6" t="s">
        <v>86</v>
      </c>
      <c r="K107" s="11" t="s">
        <v>409</v>
      </c>
      <c r="L107" s="6" t="str">
        <f>IF(K107="","",INDEX('Remediation Plan'!$B$5:$B$17,MATCH(K107,'Remediation Plan'!$A$5:$A$17,0)))</f>
        <v>Wave 4 — Notify &amp; report</v>
      </c>
      <c r="M107" s="6" t="s">
        <v>86</v>
      </c>
      <c r="N107" s="6" t="s">
        <v>86</v>
      </c>
      <c r="O107" s="6" t="s">
        <v>680</v>
      </c>
    </row>
    <row r="108" ht="34.2" spans="1:15">
      <c r="A108" s="16" t="s">
        <v>681</v>
      </c>
      <c r="B108" s="6" t="s">
        <v>28</v>
      </c>
      <c r="C108" s="6" t="s">
        <v>655</v>
      </c>
      <c r="D108" s="6" t="s">
        <v>682</v>
      </c>
      <c r="E108" s="11" t="s">
        <v>83</v>
      </c>
      <c r="F108" s="6" t="s">
        <v>187</v>
      </c>
      <c r="G108" s="11" t="s">
        <v>5</v>
      </c>
      <c r="H108" s="6" t="s">
        <v>683</v>
      </c>
      <c r="I108" s="6" t="s">
        <v>684</v>
      </c>
      <c r="J108" s="6" t="s">
        <v>685</v>
      </c>
      <c r="K108" s="11" t="s">
        <v>409</v>
      </c>
      <c r="L108" s="6" t="str">
        <f>IF(K108="","",INDEX('Remediation Plan'!$B$5:$B$17,MATCH(K108,'Remediation Plan'!$A$5:$A$17,0)))</f>
        <v>Wave 4 — Notify &amp; report</v>
      </c>
      <c r="M108" s="6" t="s">
        <v>686</v>
      </c>
      <c r="N108" s="6" t="s">
        <v>687</v>
      </c>
      <c r="O108" s="6" t="s">
        <v>688</v>
      </c>
    </row>
    <row r="109" ht="22.8" spans="1:15">
      <c r="A109" s="16" t="s">
        <v>689</v>
      </c>
      <c r="B109" s="6" t="s">
        <v>28</v>
      </c>
      <c r="C109" s="6" t="s">
        <v>655</v>
      </c>
      <c r="D109" s="6" t="s">
        <v>690</v>
      </c>
      <c r="E109" s="11" t="s">
        <v>83</v>
      </c>
      <c r="F109" s="6" t="s">
        <v>187</v>
      </c>
      <c r="G109" s="11" t="s">
        <v>5</v>
      </c>
      <c r="H109" s="6" t="s">
        <v>691</v>
      </c>
      <c r="I109" s="6" t="s">
        <v>692</v>
      </c>
      <c r="J109" s="6" t="s">
        <v>693</v>
      </c>
      <c r="K109" s="11" t="s">
        <v>409</v>
      </c>
      <c r="L109" s="6" t="str">
        <f>IF(K109="","",INDEX('Remediation Plan'!$B$5:$B$17,MATCH(K109,'Remediation Plan'!$A$5:$A$17,0)))</f>
        <v>Wave 4 — Notify &amp; report</v>
      </c>
      <c r="M109" s="6" t="s">
        <v>86</v>
      </c>
      <c r="N109" s="6" t="s">
        <v>86</v>
      </c>
      <c r="O109" s="6" t="s">
        <v>694</v>
      </c>
    </row>
    <row r="110" ht="22.8" spans="1:15">
      <c r="A110" s="16" t="s">
        <v>695</v>
      </c>
      <c r="B110" s="6" t="s">
        <v>28</v>
      </c>
      <c r="C110" s="6" t="s">
        <v>655</v>
      </c>
      <c r="D110" s="6" t="s">
        <v>696</v>
      </c>
      <c r="E110" s="11" t="s">
        <v>83</v>
      </c>
      <c r="F110" s="6" t="s">
        <v>187</v>
      </c>
      <c r="G110" s="11" t="s">
        <v>5</v>
      </c>
      <c r="H110" s="6" t="s">
        <v>697</v>
      </c>
      <c r="I110" s="6" t="s">
        <v>698</v>
      </c>
      <c r="J110" s="6" t="s">
        <v>699</v>
      </c>
      <c r="K110" s="11" t="s">
        <v>170</v>
      </c>
      <c r="L110" s="6" t="str">
        <f>IF(K110="","",INDEX('Remediation Plan'!$B$5:$B$17,MATCH(K110,'Remediation Plan'!$A$5:$A$17,0)))</f>
        <v>Wave 1 — Align</v>
      </c>
      <c r="M110" s="6" t="s">
        <v>86</v>
      </c>
      <c r="N110" s="6" t="s">
        <v>86</v>
      </c>
      <c r="O110" s="6" t="s">
        <v>700</v>
      </c>
    </row>
    <row r="111" ht="34.2" spans="1:15">
      <c r="A111" s="16" t="s">
        <v>701</v>
      </c>
      <c r="B111" s="6" t="s">
        <v>28</v>
      </c>
      <c r="C111" s="6" t="s">
        <v>655</v>
      </c>
      <c r="D111" s="6" t="s">
        <v>702</v>
      </c>
      <c r="E111" s="11" t="s">
        <v>142</v>
      </c>
      <c r="F111" s="6" t="s">
        <v>187</v>
      </c>
      <c r="G111" s="11" t="s">
        <v>4</v>
      </c>
      <c r="H111" s="6" t="s">
        <v>703</v>
      </c>
      <c r="I111" s="6" t="s">
        <v>86</v>
      </c>
      <c r="J111" s="6" t="s">
        <v>86</v>
      </c>
      <c r="K111" s="11" t="s">
        <v>409</v>
      </c>
      <c r="L111" s="6" t="str">
        <f>IF(K111="","",INDEX('Remediation Plan'!$B$5:$B$17,MATCH(K111,'Remediation Plan'!$A$5:$A$17,0)))</f>
        <v>Wave 4 — Notify &amp; report</v>
      </c>
      <c r="M111" s="6" t="s">
        <v>86</v>
      </c>
      <c r="N111" s="6" t="s">
        <v>86</v>
      </c>
      <c r="O111" s="6" t="s">
        <v>704</v>
      </c>
    </row>
    <row r="112" ht="34.2" spans="1:15">
      <c r="A112" s="16" t="s">
        <v>705</v>
      </c>
      <c r="B112" s="6" t="s">
        <v>28</v>
      </c>
      <c r="C112" s="6" t="s">
        <v>655</v>
      </c>
      <c r="D112" s="6" t="s">
        <v>706</v>
      </c>
      <c r="E112" s="11" t="s">
        <v>707</v>
      </c>
      <c r="F112" s="6" t="s">
        <v>187</v>
      </c>
      <c r="G112" s="11" t="s">
        <v>4</v>
      </c>
      <c r="H112" s="6" t="s">
        <v>708</v>
      </c>
      <c r="I112" s="6" t="s">
        <v>86</v>
      </c>
      <c r="J112" s="6" t="s">
        <v>86</v>
      </c>
      <c r="K112" s="11" t="s">
        <v>409</v>
      </c>
      <c r="L112" s="6" t="str">
        <f>IF(K112="","",INDEX('Remediation Plan'!$B$5:$B$17,MATCH(K112,'Remediation Plan'!$A$5:$A$17,0)))</f>
        <v>Wave 4 — Notify &amp; report</v>
      </c>
      <c r="M112" s="6" t="s">
        <v>86</v>
      </c>
      <c r="N112" s="6" t="s">
        <v>86</v>
      </c>
      <c r="O112" s="6" t="s">
        <v>709</v>
      </c>
    </row>
    <row r="113" ht="34.2" spans="1:15">
      <c r="A113" s="16" t="s">
        <v>710</v>
      </c>
      <c r="B113" s="6" t="s">
        <v>30</v>
      </c>
      <c r="C113" s="6" t="s">
        <v>711</v>
      </c>
      <c r="D113" s="6" t="s">
        <v>712</v>
      </c>
      <c r="E113" s="11" t="s">
        <v>83</v>
      </c>
      <c r="F113" s="6" t="s">
        <v>187</v>
      </c>
      <c r="G113" s="11" t="s">
        <v>4</v>
      </c>
      <c r="H113" s="6" t="s">
        <v>713</v>
      </c>
      <c r="I113" s="6" t="s">
        <v>86</v>
      </c>
      <c r="J113" s="6" t="s">
        <v>86</v>
      </c>
      <c r="K113" s="11" t="s">
        <v>310</v>
      </c>
      <c r="L113" s="6" t="str">
        <f>IF(K113="","",INDEX('Remediation Plan'!$B$5:$B$17,MATCH(K113,'Remediation Plan'!$A$5:$A$17,0)))</f>
        <v>Wave 4 — Notify &amp; report</v>
      </c>
      <c r="M113" s="6" t="s">
        <v>457</v>
      </c>
      <c r="N113" s="6" t="s">
        <v>458</v>
      </c>
      <c r="O113" s="6" t="s">
        <v>714</v>
      </c>
    </row>
    <row r="114" ht="34.2" spans="1:15">
      <c r="A114" s="16" t="s">
        <v>715</v>
      </c>
      <c r="B114" s="6" t="s">
        <v>30</v>
      </c>
      <c r="C114" s="6" t="s">
        <v>711</v>
      </c>
      <c r="D114" s="6" t="s">
        <v>716</v>
      </c>
      <c r="E114" s="11" t="s">
        <v>83</v>
      </c>
      <c r="F114" s="6" t="s">
        <v>187</v>
      </c>
      <c r="G114" s="11" t="s">
        <v>4</v>
      </c>
      <c r="H114" s="6" t="s">
        <v>717</v>
      </c>
      <c r="I114" s="6" t="s">
        <v>86</v>
      </c>
      <c r="J114" s="6" t="s">
        <v>86</v>
      </c>
      <c r="K114" s="11" t="s">
        <v>310</v>
      </c>
      <c r="L114" s="6" t="str">
        <f>IF(K114="","",INDEX('Remediation Plan'!$B$5:$B$17,MATCH(K114,'Remediation Plan'!$A$5:$A$17,0)))</f>
        <v>Wave 4 — Notify &amp; report</v>
      </c>
      <c r="M114" s="6" t="s">
        <v>86</v>
      </c>
      <c r="N114" s="6" t="s">
        <v>86</v>
      </c>
      <c r="O114" s="6" t="s">
        <v>718</v>
      </c>
    </row>
    <row r="115" ht="34.2" spans="1:15">
      <c r="A115" s="16" t="s">
        <v>719</v>
      </c>
      <c r="B115" s="6" t="s">
        <v>30</v>
      </c>
      <c r="C115" s="6" t="s">
        <v>711</v>
      </c>
      <c r="D115" s="6" t="s">
        <v>720</v>
      </c>
      <c r="E115" s="11" t="s">
        <v>142</v>
      </c>
      <c r="F115" s="6" t="s">
        <v>187</v>
      </c>
      <c r="G115" s="11" t="s">
        <v>4</v>
      </c>
      <c r="H115" s="6" t="s">
        <v>721</v>
      </c>
      <c r="I115" s="6" t="s">
        <v>86</v>
      </c>
      <c r="J115" s="6" t="s">
        <v>86</v>
      </c>
      <c r="K115" s="11" t="s">
        <v>310</v>
      </c>
      <c r="L115" s="6" t="str">
        <f>IF(K115="","",INDEX('Remediation Plan'!$B$5:$B$17,MATCH(K115,'Remediation Plan'!$A$5:$A$17,0)))</f>
        <v>Wave 4 — Notify &amp; report</v>
      </c>
      <c r="M115" s="6" t="s">
        <v>86</v>
      </c>
      <c r="N115" s="6" t="s">
        <v>86</v>
      </c>
      <c r="O115" s="6" t="s">
        <v>649</v>
      </c>
    </row>
    <row r="116" ht="34.2" spans="1:15">
      <c r="A116" s="16" t="s">
        <v>722</v>
      </c>
      <c r="B116" s="6" t="s">
        <v>30</v>
      </c>
      <c r="C116" s="6" t="s">
        <v>711</v>
      </c>
      <c r="D116" s="6" t="s">
        <v>723</v>
      </c>
      <c r="E116" s="11" t="s">
        <v>142</v>
      </c>
      <c r="F116" s="6" t="s">
        <v>187</v>
      </c>
      <c r="G116" s="11" t="s">
        <v>4</v>
      </c>
      <c r="H116" s="6" t="s">
        <v>724</v>
      </c>
      <c r="I116" s="6" t="s">
        <v>86</v>
      </c>
      <c r="J116" s="6" t="s">
        <v>86</v>
      </c>
      <c r="K116" s="11" t="s">
        <v>310</v>
      </c>
      <c r="L116" s="6" t="str">
        <f>IF(K116="","",INDEX('Remediation Plan'!$B$5:$B$17,MATCH(K116,'Remediation Plan'!$A$5:$A$17,0)))</f>
        <v>Wave 4 — Notify &amp; report</v>
      </c>
      <c r="M116" s="6" t="s">
        <v>86</v>
      </c>
      <c r="N116" s="6" t="s">
        <v>86</v>
      </c>
      <c r="O116" s="6" t="s">
        <v>725</v>
      </c>
    </row>
    <row r="117" ht="34.2" spans="1:15">
      <c r="A117" s="16" t="s">
        <v>726</v>
      </c>
      <c r="B117" s="6" t="s">
        <v>30</v>
      </c>
      <c r="C117" s="6" t="s">
        <v>711</v>
      </c>
      <c r="D117" s="6" t="s">
        <v>727</v>
      </c>
      <c r="E117" s="11" t="s">
        <v>142</v>
      </c>
      <c r="F117" s="6" t="s">
        <v>187</v>
      </c>
      <c r="G117" s="11" t="s">
        <v>4</v>
      </c>
      <c r="H117" s="6" t="s">
        <v>728</v>
      </c>
      <c r="I117" s="6" t="s">
        <v>86</v>
      </c>
      <c r="J117" s="6" t="s">
        <v>86</v>
      </c>
      <c r="K117" s="11" t="s">
        <v>310</v>
      </c>
      <c r="L117" s="6" t="str">
        <f>IF(K117="","",INDEX('Remediation Plan'!$B$5:$B$17,MATCH(K117,'Remediation Plan'!$A$5:$A$17,0)))</f>
        <v>Wave 4 — Notify &amp; report</v>
      </c>
      <c r="M117" s="6" t="s">
        <v>86</v>
      </c>
      <c r="N117" s="6" t="s">
        <v>86</v>
      </c>
      <c r="O117" s="6" t="s">
        <v>86</v>
      </c>
    </row>
    <row r="118" ht="22.8" spans="1:15">
      <c r="A118" s="16" t="s">
        <v>729</v>
      </c>
      <c r="B118" s="6" t="s">
        <v>31</v>
      </c>
      <c r="C118" s="6" t="s">
        <v>730</v>
      </c>
      <c r="D118" s="6" t="s">
        <v>731</v>
      </c>
      <c r="E118" s="11" t="s">
        <v>83</v>
      </c>
      <c r="F118" s="6" t="s">
        <v>187</v>
      </c>
      <c r="G118" s="11" t="s">
        <v>4</v>
      </c>
      <c r="H118" s="6" t="s">
        <v>732</v>
      </c>
      <c r="I118" s="6" t="s">
        <v>86</v>
      </c>
      <c r="J118" s="6" t="s">
        <v>86</v>
      </c>
      <c r="K118" s="11" t="s">
        <v>87</v>
      </c>
      <c r="L118" s="6" t="str">
        <f>IF(K118="","",INDEX('Remediation Plan'!$B$5:$B$17,MATCH(K118,'Remediation Plan'!$A$5:$A$17,0)))</f>
        <v/>
      </c>
      <c r="M118" s="6" t="s">
        <v>86</v>
      </c>
      <c r="N118" s="6" t="s">
        <v>86</v>
      </c>
      <c r="O118" s="6" t="s">
        <v>733</v>
      </c>
    </row>
    <row r="119" ht="22.8" spans="1:15">
      <c r="A119" s="16" t="s">
        <v>734</v>
      </c>
      <c r="B119" s="6" t="s">
        <v>31</v>
      </c>
      <c r="C119" s="6" t="s">
        <v>730</v>
      </c>
      <c r="D119" s="6" t="s">
        <v>735</v>
      </c>
      <c r="E119" s="11" t="s">
        <v>83</v>
      </c>
      <c r="F119" s="6" t="s">
        <v>187</v>
      </c>
      <c r="G119" s="11" t="s">
        <v>5</v>
      </c>
      <c r="H119" s="6" t="s">
        <v>736</v>
      </c>
      <c r="I119" s="6" t="s">
        <v>737</v>
      </c>
      <c r="J119" s="6" t="s">
        <v>738</v>
      </c>
      <c r="K119" s="11" t="s">
        <v>197</v>
      </c>
      <c r="L119" s="6" t="str">
        <f>IF(K119="","",INDEX('Remediation Plan'!$B$5:$B$17,MATCH(K119,'Remediation Plan'!$A$5:$A$17,0)))</f>
        <v>Wave 1 — Align</v>
      </c>
      <c r="M119" s="6" t="s">
        <v>739</v>
      </c>
      <c r="N119" s="6" t="s">
        <v>740</v>
      </c>
      <c r="O119" s="6" t="s">
        <v>741</v>
      </c>
    </row>
    <row r="120" ht="34.2" spans="1:15">
      <c r="A120" s="16" t="s">
        <v>742</v>
      </c>
      <c r="B120" s="6" t="s">
        <v>31</v>
      </c>
      <c r="C120" s="6" t="s">
        <v>730</v>
      </c>
      <c r="D120" s="6" t="s">
        <v>743</v>
      </c>
      <c r="E120" s="11" t="s">
        <v>83</v>
      </c>
      <c r="F120" s="6" t="s">
        <v>187</v>
      </c>
      <c r="G120" s="11" t="s">
        <v>5</v>
      </c>
      <c r="H120" s="6" t="s">
        <v>744</v>
      </c>
      <c r="I120" s="6" t="s">
        <v>745</v>
      </c>
      <c r="J120" s="6" t="s">
        <v>746</v>
      </c>
      <c r="K120" s="11" t="s">
        <v>98</v>
      </c>
      <c r="L120" s="6" t="str">
        <f>IF(K120="","",INDEX('Remediation Plan'!$B$5:$B$17,MATCH(K120,'Remediation Plan'!$A$5:$A$17,0)))</f>
        <v>Wave 0 — Fix now</v>
      </c>
      <c r="M120" s="6" t="s">
        <v>739</v>
      </c>
      <c r="N120" s="6" t="s">
        <v>740</v>
      </c>
      <c r="O120" s="6" t="s">
        <v>747</v>
      </c>
    </row>
    <row r="121" ht="22.8" spans="1:15">
      <c r="A121" s="16" t="s">
        <v>748</v>
      </c>
      <c r="B121" s="6" t="s">
        <v>31</v>
      </c>
      <c r="C121" s="6" t="s">
        <v>730</v>
      </c>
      <c r="D121" s="6" t="s">
        <v>749</v>
      </c>
      <c r="E121" s="11" t="s">
        <v>83</v>
      </c>
      <c r="F121" s="6" t="s">
        <v>187</v>
      </c>
      <c r="G121" s="11" t="s">
        <v>5</v>
      </c>
      <c r="H121" s="6" t="s">
        <v>750</v>
      </c>
      <c r="I121" s="6" t="s">
        <v>751</v>
      </c>
      <c r="J121" s="6" t="s">
        <v>752</v>
      </c>
      <c r="K121" s="11" t="s">
        <v>170</v>
      </c>
      <c r="L121" s="6" t="str">
        <f>IF(K121="","",INDEX('Remediation Plan'!$B$5:$B$17,MATCH(K121,'Remediation Plan'!$A$5:$A$17,0)))</f>
        <v>Wave 1 — Align</v>
      </c>
      <c r="M121" s="6" t="s">
        <v>86</v>
      </c>
      <c r="N121" s="6" t="s">
        <v>86</v>
      </c>
      <c r="O121" s="6" t="s">
        <v>753</v>
      </c>
    </row>
    <row r="122" ht="34.2" spans="1:15">
      <c r="A122" s="16" t="s">
        <v>754</v>
      </c>
      <c r="B122" s="6" t="s">
        <v>31</v>
      </c>
      <c r="C122" s="6" t="s">
        <v>730</v>
      </c>
      <c r="D122" s="6" t="s">
        <v>755</v>
      </c>
      <c r="E122" s="11" t="s">
        <v>83</v>
      </c>
      <c r="F122" s="6" t="s">
        <v>187</v>
      </c>
      <c r="G122" s="11" t="s">
        <v>5</v>
      </c>
      <c r="H122" s="6" t="s">
        <v>756</v>
      </c>
      <c r="I122" s="6" t="s">
        <v>757</v>
      </c>
      <c r="J122" s="6" t="s">
        <v>758</v>
      </c>
      <c r="K122" s="11" t="s">
        <v>170</v>
      </c>
      <c r="L122" s="6" t="str">
        <f>IF(K122="","",INDEX('Remediation Plan'!$B$5:$B$17,MATCH(K122,'Remediation Plan'!$A$5:$A$17,0)))</f>
        <v>Wave 1 — Align</v>
      </c>
      <c r="M122" s="6" t="s">
        <v>759</v>
      </c>
      <c r="N122" s="6" t="s">
        <v>760</v>
      </c>
      <c r="O122" s="6" t="s">
        <v>761</v>
      </c>
    </row>
    <row r="123" ht="22.8" spans="1:15">
      <c r="A123" s="16" t="s">
        <v>762</v>
      </c>
      <c r="B123" s="6" t="s">
        <v>31</v>
      </c>
      <c r="C123" s="6" t="s">
        <v>730</v>
      </c>
      <c r="D123" s="6" t="s">
        <v>763</v>
      </c>
      <c r="E123" s="11" t="s">
        <v>83</v>
      </c>
      <c r="F123" s="6" t="s">
        <v>187</v>
      </c>
      <c r="G123" s="11" t="s">
        <v>4</v>
      </c>
      <c r="H123" s="6" t="s">
        <v>764</v>
      </c>
      <c r="I123" s="6" t="s">
        <v>86</v>
      </c>
      <c r="J123" s="6" t="s">
        <v>86</v>
      </c>
      <c r="K123" s="11" t="s">
        <v>87</v>
      </c>
      <c r="L123" s="6" t="str">
        <f>IF(K123="","",INDEX('Remediation Plan'!$B$5:$B$17,MATCH(K123,'Remediation Plan'!$A$5:$A$17,0)))</f>
        <v/>
      </c>
      <c r="M123" s="6" t="s">
        <v>759</v>
      </c>
      <c r="N123" s="6" t="s">
        <v>760</v>
      </c>
      <c r="O123" s="6" t="s">
        <v>765</v>
      </c>
    </row>
    <row r="124" ht="34.2" spans="1:15">
      <c r="A124" s="16" t="s">
        <v>766</v>
      </c>
      <c r="B124" s="6" t="s">
        <v>31</v>
      </c>
      <c r="C124" s="6" t="s">
        <v>730</v>
      </c>
      <c r="D124" s="6" t="s">
        <v>767</v>
      </c>
      <c r="E124" s="11" t="s">
        <v>83</v>
      </c>
      <c r="F124" s="6" t="s">
        <v>187</v>
      </c>
      <c r="G124" s="11" t="s">
        <v>5</v>
      </c>
      <c r="H124" s="6" t="s">
        <v>768</v>
      </c>
      <c r="I124" s="6" t="s">
        <v>769</v>
      </c>
      <c r="J124" s="6" t="s">
        <v>770</v>
      </c>
      <c r="K124" s="11" t="s">
        <v>520</v>
      </c>
      <c r="L124" s="6" t="str">
        <f>IF(K124="","",INDEX('Remediation Plan'!$B$5:$B$17,MATCH(K124,'Remediation Plan'!$A$5:$A$17,0)))</f>
        <v>Wave 2 — Field app</v>
      </c>
      <c r="M124" s="6" t="s">
        <v>86</v>
      </c>
      <c r="N124" s="6" t="s">
        <v>86</v>
      </c>
      <c r="O124" s="6" t="s">
        <v>586</v>
      </c>
    </row>
    <row r="125" ht="22.8" spans="1:15">
      <c r="A125" s="16" t="s">
        <v>771</v>
      </c>
      <c r="B125" s="6" t="s">
        <v>31</v>
      </c>
      <c r="C125" s="6" t="s">
        <v>730</v>
      </c>
      <c r="D125" s="6" t="s">
        <v>772</v>
      </c>
      <c r="E125" s="11" t="s">
        <v>83</v>
      </c>
      <c r="F125" s="6" t="s">
        <v>187</v>
      </c>
      <c r="G125" s="11" t="s">
        <v>5</v>
      </c>
      <c r="H125" s="6" t="s">
        <v>773</v>
      </c>
      <c r="I125" s="6" t="s">
        <v>774</v>
      </c>
      <c r="J125" s="6" t="s">
        <v>775</v>
      </c>
      <c r="K125" s="11" t="s">
        <v>197</v>
      </c>
      <c r="L125" s="6" t="str">
        <f>IF(K125="","",INDEX('Remediation Plan'!$B$5:$B$17,MATCH(K125,'Remediation Plan'!$A$5:$A$17,0)))</f>
        <v>Wave 1 — Align</v>
      </c>
      <c r="M125" s="6" t="s">
        <v>86</v>
      </c>
      <c r="N125" s="6" t="s">
        <v>86</v>
      </c>
      <c r="O125" s="6" t="s">
        <v>776</v>
      </c>
    </row>
    <row r="126" ht="45.6" spans="1:15">
      <c r="A126" s="16" t="s">
        <v>777</v>
      </c>
      <c r="B126" s="6" t="s">
        <v>31</v>
      </c>
      <c r="C126" s="6" t="s">
        <v>730</v>
      </c>
      <c r="D126" s="6" t="s">
        <v>778</v>
      </c>
      <c r="E126" s="11" t="s">
        <v>142</v>
      </c>
      <c r="F126" s="6" t="s">
        <v>187</v>
      </c>
      <c r="G126" s="11" t="s">
        <v>4</v>
      </c>
      <c r="H126" s="6" t="s">
        <v>779</v>
      </c>
      <c r="I126" s="6" t="s">
        <v>86</v>
      </c>
      <c r="J126" s="6" t="s">
        <v>86</v>
      </c>
      <c r="K126" s="11" t="s">
        <v>520</v>
      </c>
      <c r="L126" s="6" t="str">
        <f>IF(K126="","",INDEX('Remediation Plan'!$B$5:$B$17,MATCH(K126,'Remediation Plan'!$A$5:$A$17,0)))</f>
        <v>Wave 2 — Field app</v>
      </c>
      <c r="M126" s="6" t="s">
        <v>86</v>
      </c>
      <c r="N126" s="6" t="s">
        <v>86</v>
      </c>
      <c r="O126" s="6" t="s">
        <v>780</v>
      </c>
    </row>
  </sheetData>
  <autoFilter xmlns:etc="http://www.wps.cn/officeDocument/2017/etCustomData" ref="A4:O126" etc:filterBottomFollowUsedRange="0">
    <extLst/>
  </autoFilter>
  <conditionalFormatting sqref="G5:G126">
    <cfRule type="cellIs" dxfId="0" priority="1" operator="equal">
      <formula>"Met"</formula>
    </cfRule>
    <cfRule type="cellIs" dxfId="1" priority="2" operator="equal">
      <formula>"Partially met"</formula>
    </cfRule>
    <cfRule type="cellIs" dxfId="2" priority="3" operator="equal">
      <formula>"Not met"</formula>
    </cfRule>
  </conditionalFormatting>
  <dataValidations count="1">
    <dataValidation type="list" sqref="G5:G126">
      <formula1>"Met,Partially met,Not met"</formula1>
    </dataValidation>
  </dataValidations>
  <pageMargins left="0.3" right="0.3" top="0.5" bottom="0.5" header="0.5" footer="0.5"/>
  <pageSetup paperSize="1" scale="40"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4.4"/>
  <cols>
    <col min="1" max="1" width="7" customWidth="1"/>
    <col min="2" max="2" width="24" customWidth="1"/>
    <col min="3" max="3" width="30" customWidth="1"/>
    <col min="4" max="4" width="32" customWidth="1"/>
    <col min="5" max="5" width="46" customWidth="1"/>
    <col min="6" max="6" width="11" customWidth="1"/>
    <col min="7" max="7" width="32" customWidth="1"/>
    <col min="8" max="8" width="22" customWidth="1"/>
    <col min="9" max="9" width="10" customWidth="1"/>
  </cols>
  <sheetData>
    <row r="1" ht="19.2" spans="1:9">
      <c r="A1" s="1" t="s">
        <v>781</v>
      </c>
    </row>
    <row r="2" spans="1:9">
      <c r="A2" s="2" t="s">
        <v>782</v>
      </c>
    </row>
    <row r="4" spans="1:9">
      <c r="A4" s="10" t="s">
        <v>783</v>
      </c>
      <c r="B4" s="5" t="s">
        <v>784</v>
      </c>
      <c r="C4" s="5" t="s">
        <v>785</v>
      </c>
      <c r="D4" s="5" t="s">
        <v>786</v>
      </c>
      <c r="E4" s="5" t="s">
        <v>787</v>
      </c>
      <c r="F4" s="10" t="s">
        <v>788</v>
      </c>
      <c r="G4" s="5" t="s">
        <v>789</v>
      </c>
      <c r="H4" s="5" t="s">
        <v>3</v>
      </c>
      <c r="I4" s="5" t="s">
        <v>790</v>
      </c>
    </row>
    <row r="5" ht="34.2" spans="1:9">
      <c r="A5" s="11" t="s">
        <v>246</v>
      </c>
      <c r="B5" s="6" t="s">
        <v>791</v>
      </c>
      <c r="C5" s="6" t="s">
        <v>792</v>
      </c>
      <c r="D5" s="6" t="s">
        <v>793</v>
      </c>
      <c r="E5" s="6" t="s">
        <v>794</v>
      </c>
      <c r="F5" s="11" t="s">
        <v>12</v>
      </c>
      <c r="G5" s="6" t="s">
        <v>86</v>
      </c>
      <c r="H5" s="6" t="s">
        <v>795</v>
      </c>
      <c r="I5" s="6" t="s">
        <v>796</v>
      </c>
    </row>
    <row r="6" ht="22.8" spans="1:9">
      <c r="A6" s="11" t="s">
        <v>222</v>
      </c>
      <c r="B6" s="6" t="s">
        <v>797</v>
      </c>
      <c r="C6" s="6" t="s">
        <v>798</v>
      </c>
      <c r="D6" s="6" t="s">
        <v>799</v>
      </c>
      <c r="E6" s="6" t="s">
        <v>800</v>
      </c>
      <c r="F6" s="11" t="s">
        <v>14</v>
      </c>
      <c r="G6" s="6" t="s">
        <v>801</v>
      </c>
      <c r="H6" s="6" t="s">
        <v>217</v>
      </c>
      <c r="I6" s="6" t="s">
        <v>802</v>
      </c>
    </row>
    <row r="7" ht="22.8" spans="1:9">
      <c r="A7" s="11" t="s">
        <v>803</v>
      </c>
      <c r="B7" s="6" t="s">
        <v>804</v>
      </c>
      <c r="C7" s="6" t="s">
        <v>805</v>
      </c>
      <c r="D7" s="6" t="s">
        <v>806</v>
      </c>
      <c r="E7" s="6" t="s">
        <v>807</v>
      </c>
      <c r="F7" s="11" t="s">
        <v>12</v>
      </c>
      <c r="G7" s="6" t="s">
        <v>86</v>
      </c>
      <c r="H7" s="6" t="s">
        <v>808</v>
      </c>
      <c r="I7" s="6" t="s">
        <v>809</v>
      </c>
    </row>
    <row r="8" ht="22.8" spans="1:9">
      <c r="A8" s="11" t="s">
        <v>810</v>
      </c>
      <c r="B8" s="6" t="s">
        <v>811</v>
      </c>
      <c r="C8" s="6" t="s">
        <v>812</v>
      </c>
      <c r="D8" s="6" t="s">
        <v>813</v>
      </c>
      <c r="E8" s="6" t="s">
        <v>814</v>
      </c>
      <c r="F8" s="11" t="s">
        <v>12</v>
      </c>
      <c r="G8" s="6" t="s">
        <v>86</v>
      </c>
      <c r="H8" s="6" t="s">
        <v>111</v>
      </c>
      <c r="I8" s="6" t="s">
        <v>815</v>
      </c>
    </row>
    <row r="9" ht="34.2" spans="1:9">
      <c r="A9" s="11" t="s">
        <v>230</v>
      </c>
      <c r="B9" s="6" t="s">
        <v>816</v>
      </c>
      <c r="C9" s="6" t="s">
        <v>817</v>
      </c>
      <c r="D9" s="6" t="s">
        <v>818</v>
      </c>
      <c r="E9" s="6" t="s">
        <v>819</v>
      </c>
      <c r="F9" s="11" t="s">
        <v>15</v>
      </c>
      <c r="G9" s="6" t="s">
        <v>820</v>
      </c>
      <c r="H9" s="6" t="s">
        <v>225</v>
      </c>
      <c r="I9" s="6" t="s">
        <v>821</v>
      </c>
    </row>
    <row r="10" ht="22.8" spans="1:9">
      <c r="A10" s="11" t="s">
        <v>261</v>
      </c>
      <c r="B10" s="6" t="s">
        <v>822</v>
      </c>
      <c r="C10" s="6" t="s">
        <v>823</v>
      </c>
      <c r="D10" s="6" t="s">
        <v>824</v>
      </c>
      <c r="E10" s="6" t="s">
        <v>825</v>
      </c>
      <c r="F10" s="11" t="s">
        <v>12</v>
      </c>
      <c r="G10" s="6" t="s">
        <v>86</v>
      </c>
      <c r="H10" s="6" t="s">
        <v>257</v>
      </c>
      <c r="I10" s="6" t="s">
        <v>826</v>
      </c>
    </row>
    <row r="11" ht="45.6" spans="1:9">
      <c r="A11" s="11" t="s">
        <v>440</v>
      </c>
      <c r="B11" s="6" t="s">
        <v>827</v>
      </c>
      <c r="C11" s="6" t="s">
        <v>828</v>
      </c>
      <c r="D11" s="6" t="s">
        <v>829</v>
      </c>
      <c r="E11" s="6" t="s">
        <v>830</v>
      </c>
      <c r="F11" s="11" t="s">
        <v>12</v>
      </c>
      <c r="G11" s="6" t="s">
        <v>86</v>
      </c>
      <c r="H11" s="6" t="s">
        <v>437</v>
      </c>
      <c r="I11" s="6" t="s">
        <v>831</v>
      </c>
    </row>
    <row r="12" ht="34.2" spans="1:9">
      <c r="A12" s="11" t="s">
        <v>457</v>
      </c>
      <c r="B12" s="6" t="s">
        <v>832</v>
      </c>
      <c r="C12" s="6" t="s">
        <v>833</v>
      </c>
      <c r="D12" s="6" t="s">
        <v>834</v>
      </c>
      <c r="E12" s="6" t="s">
        <v>835</v>
      </c>
      <c r="F12" s="11" t="s">
        <v>12</v>
      </c>
      <c r="G12" s="6" t="s">
        <v>86</v>
      </c>
      <c r="H12" s="6" t="s">
        <v>836</v>
      </c>
      <c r="I12" s="6" t="s">
        <v>86</v>
      </c>
    </row>
    <row r="13" ht="22.8" spans="1:9">
      <c r="A13" s="11" t="s">
        <v>488</v>
      </c>
      <c r="B13" s="6" t="s">
        <v>837</v>
      </c>
      <c r="C13" s="6" t="s">
        <v>838</v>
      </c>
      <c r="D13" s="6" t="s">
        <v>839</v>
      </c>
      <c r="E13" s="6" t="s">
        <v>840</v>
      </c>
      <c r="F13" s="11" t="s">
        <v>12</v>
      </c>
      <c r="G13" s="6" t="s">
        <v>86</v>
      </c>
      <c r="H13" s="6" t="s">
        <v>485</v>
      </c>
      <c r="I13" s="6" t="s">
        <v>841</v>
      </c>
    </row>
    <row r="14" ht="22.8" spans="1:9">
      <c r="A14" s="11" t="s">
        <v>494</v>
      </c>
      <c r="B14" s="6" t="s">
        <v>842</v>
      </c>
      <c r="C14" s="6" t="s">
        <v>843</v>
      </c>
      <c r="D14" s="6" t="s">
        <v>844</v>
      </c>
      <c r="E14" s="6" t="s">
        <v>845</v>
      </c>
      <c r="F14" s="11" t="s">
        <v>12</v>
      </c>
      <c r="G14" s="6" t="s">
        <v>86</v>
      </c>
      <c r="H14" s="6" t="s">
        <v>846</v>
      </c>
      <c r="I14" s="6" t="s">
        <v>847</v>
      </c>
    </row>
    <row r="15" ht="34.2" spans="1:9">
      <c r="A15" s="11" t="s">
        <v>502</v>
      </c>
      <c r="B15" s="6" t="s">
        <v>848</v>
      </c>
      <c r="C15" s="6" t="s">
        <v>849</v>
      </c>
      <c r="D15" s="6" t="s">
        <v>850</v>
      </c>
      <c r="E15" s="6" t="s">
        <v>851</v>
      </c>
      <c r="F15" s="11" t="s">
        <v>12</v>
      </c>
      <c r="G15" s="6" t="s">
        <v>86</v>
      </c>
      <c r="H15" s="6" t="s">
        <v>852</v>
      </c>
      <c r="I15" s="6" t="s">
        <v>86</v>
      </c>
    </row>
    <row r="16" ht="22.8" spans="1:9">
      <c r="A16" s="11" t="s">
        <v>330</v>
      </c>
      <c r="B16" s="6" t="s">
        <v>853</v>
      </c>
      <c r="C16" s="6" t="s">
        <v>854</v>
      </c>
      <c r="D16" s="6" t="s">
        <v>855</v>
      </c>
      <c r="E16" s="6" t="s">
        <v>856</v>
      </c>
      <c r="F16" s="11" t="s">
        <v>12</v>
      </c>
      <c r="G16" s="6" t="s">
        <v>86</v>
      </c>
      <c r="H16" s="6" t="s">
        <v>325</v>
      </c>
      <c r="I16" s="6" t="s">
        <v>857</v>
      </c>
    </row>
    <row r="17" ht="34.2" spans="1:9">
      <c r="A17" s="11" t="s">
        <v>336</v>
      </c>
      <c r="B17" s="6" t="s">
        <v>858</v>
      </c>
      <c r="C17" s="6" t="s">
        <v>859</v>
      </c>
      <c r="D17" s="6" t="s">
        <v>860</v>
      </c>
      <c r="E17" s="6" t="s">
        <v>861</v>
      </c>
      <c r="F17" s="11" t="s">
        <v>12</v>
      </c>
      <c r="G17" s="6" t="s">
        <v>86</v>
      </c>
      <c r="H17" s="6" t="s">
        <v>333</v>
      </c>
      <c r="I17" s="6" t="s">
        <v>862</v>
      </c>
    </row>
    <row r="18" ht="22.8" spans="1:9">
      <c r="A18" s="11" t="s">
        <v>342</v>
      </c>
      <c r="B18" s="6" t="s">
        <v>863</v>
      </c>
      <c r="C18" s="6" t="s">
        <v>864</v>
      </c>
      <c r="D18" s="6" t="s">
        <v>865</v>
      </c>
      <c r="E18" s="6" t="s">
        <v>866</v>
      </c>
      <c r="F18" s="11" t="s">
        <v>12</v>
      </c>
      <c r="G18" s="6" t="s">
        <v>86</v>
      </c>
      <c r="H18" s="6" t="s">
        <v>339</v>
      </c>
      <c r="I18" s="6" t="s">
        <v>867</v>
      </c>
    </row>
    <row r="19" ht="34.2" spans="1:9">
      <c r="A19" s="11" t="s">
        <v>281</v>
      </c>
      <c r="B19" s="6" t="s">
        <v>868</v>
      </c>
      <c r="C19" s="6" t="s">
        <v>869</v>
      </c>
      <c r="D19" s="6" t="s">
        <v>870</v>
      </c>
      <c r="E19" s="6" t="s">
        <v>871</v>
      </c>
      <c r="F19" s="11" t="s">
        <v>12</v>
      </c>
      <c r="G19" s="6" t="s">
        <v>86</v>
      </c>
      <c r="H19" s="6" t="s">
        <v>872</v>
      </c>
      <c r="I19" s="6" t="s">
        <v>873</v>
      </c>
    </row>
    <row r="20" ht="22.8" spans="1:9">
      <c r="A20" s="11" t="s">
        <v>536</v>
      </c>
      <c r="B20" s="6" t="s">
        <v>874</v>
      </c>
      <c r="C20" s="6" t="s">
        <v>875</v>
      </c>
      <c r="D20" s="6" t="s">
        <v>876</v>
      </c>
      <c r="E20" s="6" t="s">
        <v>877</v>
      </c>
      <c r="F20" s="11" t="s">
        <v>12</v>
      </c>
      <c r="G20" s="6" t="s">
        <v>86</v>
      </c>
      <c r="H20" s="6" t="s">
        <v>878</v>
      </c>
      <c r="I20" s="6" t="s">
        <v>879</v>
      </c>
    </row>
    <row r="21" ht="68.4" spans="1:9">
      <c r="A21" s="11" t="s">
        <v>552</v>
      </c>
      <c r="B21" s="6" t="s">
        <v>880</v>
      </c>
      <c r="C21" s="6" t="s">
        <v>881</v>
      </c>
      <c r="D21" s="6" t="s">
        <v>882</v>
      </c>
      <c r="E21" s="6" t="s">
        <v>883</v>
      </c>
      <c r="F21" s="11" t="s">
        <v>12</v>
      </c>
      <c r="G21" s="6" t="s">
        <v>86</v>
      </c>
      <c r="H21" s="6" t="s">
        <v>549</v>
      </c>
      <c r="I21" s="6" t="s">
        <v>884</v>
      </c>
    </row>
    <row r="22" ht="22.8" spans="1:9">
      <c r="A22" s="11" t="s">
        <v>527</v>
      </c>
      <c r="B22" s="6" t="s">
        <v>885</v>
      </c>
      <c r="C22" s="6" t="s">
        <v>886</v>
      </c>
      <c r="D22" s="6" t="s">
        <v>887</v>
      </c>
      <c r="E22" s="6" t="s">
        <v>888</v>
      </c>
      <c r="F22" s="11" t="s">
        <v>14</v>
      </c>
      <c r="G22" s="6" t="s">
        <v>889</v>
      </c>
      <c r="H22" s="6" t="s">
        <v>890</v>
      </c>
      <c r="I22" s="6" t="s">
        <v>86</v>
      </c>
    </row>
    <row r="23" ht="22.8" spans="1:9">
      <c r="A23" s="11" t="s">
        <v>609</v>
      </c>
      <c r="B23" s="6" t="s">
        <v>891</v>
      </c>
      <c r="C23" s="6" t="s">
        <v>892</v>
      </c>
      <c r="D23" s="6" t="s">
        <v>893</v>
      </c>
      <c r="E23" s="6" t="s">
        <v>894</v>
      </c>
      <c r="F23" s="11" t="s">
        <v>14</v>
      </c>
      <c r="G23" s="6" t="s">
        <v>895</v>
      </c>
      <c r="H23" s="6" t="s">
        <v>896</v>
      </c>
      <c r="I23" s="6" t="s">
        <v>897</v>
      </c>
    </row>
    <row r="24" ht="45.6" spans="1:9">
      <c r="A24" s="11" t="s">
        <v>630</v>
      </c>
      <c r="B24" s="6" t="s">
        <v>898</v>
      </c>
      <c r="C24" s="6" t="s">
        <v>899</v>
      </c>
      <c r="D24" s="6" t="s">
        <v>900</v>
      </c>
      <c r="E24" s="6" t="s">
        <v>901</v>
      </c>
      <c r="F24" s="11" t="s">
        <v>14</v>
      </c>
      <c r="G24" s="6" t="s">
        <v>902</v>
      </c>
      <c r="H24" s="6" t="s">
        <v>903</v>
      </c>
      <c r="I24" s="6" t="s">
        <v>904</v>
      </c>
    </row>
    <row r="25" ht="22.8" spans="1:9">
      <c r="A25" s="11" t="s">
        <v>643</v>
      </c>
      <c r="B25" s="6" t="s">
        <v>905</v>
      </c>
      <c r="C25" s="6" t="s">
        <v>906</v>
      </c>
      <c r="D25" s="6" t="s">
        <v>907</v>
      </c>
      <c r="E25" s="6" t="s">
        <v>908</v>
      </c>
      <c r="F25" s="11" t="s">
        <v>14</v>
      </c>
      <c r="G25" s="6" t="s">
        <v>909</v>
      </c>
      <c r="H25" s="6" t="s">
        <v>640</v>
      </c>
      <c r="I25" s="6" t="s">
        <v>910</v>
      </c>
    </row>
    <row r="26" ht="45.6" spans="1:9">
      <c r="A26" s="11" t="s">
        <v>580</v>
      </c>
      <c r="B26" s="6" t="s">
        <v>911</v>
      </c>
      <c r="C26" s="6" t="s">
        <v>912</v>
      </c>
      <c r="D26" s="6" t="s">
        <v>913</v>
      </c>
      <c r="E26" s="6" t="s">
        <v>914</v>
      </c>
      <c r="F26" s="11" t="s">
        <v>12</v>
      </c>
      <c r="G26" s="6" t="s">
        <v>86</v>
      </c>
      <c r="H26" s="6" t="s">
        <v>915</v>
      </c>
      <c r="I26" s="6" t="s">
        <v>916</v>
      </c>
    </row>
    <row r="27" ht="22.8" spans="1:9">
      <c r="A27" s="11" t="s">
        <v>374</v>
      </c>
      <c r="B27" s="6" t="s">
        <v>917</v>
      </c>
      <c r="C27" s="6" t="s">
        <v>918</v>
      </c>
      <c r="D27" s="6" t="s">
        <v>919</v>
      </c>
      <c r="E27" s="6" t="s">
        <v>920</v>
      </c>
      <c r="F27" s="11" t="s">
        <v>12</v>
      </c>
      <c r="G27" s="6" t="s">
        <v>86</v>
      </c>
      <c r="H27" s="6" t="s">
        <v>921</v>
      </c>
      <c r="I27" s="6" t="s">
        <v>922</v>
      </c>
    </row>
    <row r="28" ht="22.8" spans="1:9">
      <c r="A28" s="11" t="s">
        <v>388</v>
      </c>
      <c r="B28" s="6" t="s">
        <v>923</v>
      </c>
      <c r="C28" s="6" t="s">
        <v>924</v>
      </c>
      <c r="D28" s="6" t="s">
        <v>925</v>
      </c>
      <c r="E28" s="6" t="s">
        <v>926</v>
      </c>
      <c r="F28" s="11" t="s">
        <v>12</v>
      </c>
      <c r="G28" s="6" t="s">
        <v>86</v>
      </c>
      <c r="H28" s="6" t="s">
        <v>927</v>
      </c>
      <c r="I28" s="6" t="s">
        <v>86</v>
      </c>
    </row>
    <row r="29" ht="22.8" spans="1:9">
      <c r="A29" s="11" t="s">
        <v>397</v>
      </c>
      <c r="B29" s="6" t="s">
        <v>928</v>
      </c>
      <c r="C29" s="6" t="s">
        <v>929</v>
      </c>
      <c r="D29" s="6" t="s">
        <v>930</v>
      </c>
      <c r="E29" s="6" t="s">
        <v>931</v>
      </c>
      <c r="F29" s="11" t="s">
        <v>12</v>
      </c>
      <c r="G29" s="6" t="s">
        <v>86</v>
      </c>
      <c r="H29" s="6" t="s">
        <v>932</v>
      </c>
      <c r="I29" s="6" t="s">
        <v>933</v>
      </c>
    </row>
    <row r="30" ht="34.2" spans="1:9">
      <c r="A30" s="11" t="s">
        <v>414</v>
      </c>
      <c r="B30" s="6" t="s">
        <v>934</v>
      </c>
      <c r="C30" s="6" t="s">
        <v>935</v>
      </c>
      <c r="D30" s="6" t="s">
        <v>936</v>
      </c>
      <c r="E30" s="6" t="s">
        <v>937</v>
      </c>
      <c r="F30" s="11" t="s">
        <v>12</v>
      </c>
      <c r="G30" s="6" t="s">
        <v>86</v>
      </c>
      <c r="H30" s="6" t="s">
        <v>411</v>
      </c>
      <c r="I30" s="6" t="s">
        <v>938</v>
      </c>
    </row>
    <row r="31" ht="34.2" spans="1:9">
      <c r="A31" s="11" t="s">
        <v>739</v>
      </c>
      <c r="B31" s="6" t="s">
        <v>939</v>
      </c>
      <c r="C31" s="6" t="s">
        <v>940</v>
      </c>
      <c r="D31" s="6" t="s">
        <v>941</v>
      </c>
      <c r="E31" s="6" t="s">
        <v>942</v>
      </c>
      <c r="F31" s="11" t="s">
        <v>15</v>
      </c>
      <c r="G31" s="6" t="s">
        <v>943</v>
      </c>
      <c r="H31" s="6" t="s">
        <v>944</v>
      </c>
      <c r="I31" s="6" t="s">
        <v>86</v>
      </c>
    </row>
    <row r="32" ht="22.8" spans="1:9">
      <c r="A32" s="11" t="s">
        <v>686</v>
      </c>
      <c r="B32" s="6" t="s">
        <v>945</v>
      </c>
      <c r="C32" s="6" t="s">
        <v>946</v>
      </c>
      <c r="D32" s="6" t="s">
        <v>947</v>
      </c>
      <c r="E32" s="6" t="s">
        <v>948</v>
      </c>
      <c r="F32" s="11" t="s">
        <v>15</v>
      </c>
      <c r="G32" s="6" t="s">
        <v>949</v>
      </c>
      <c r="H32" s="6" t="s">
        <v>681</v>
      </c>
      <c r="I32" s="6" t="s">
        <v>86</v>
      </c>
    </row>
    <row r="33" ht="57" spans="1:9">
      <c r="A33" s="11" t="s">
        <v>299</v>
      </c>
      <c r="B33" s="6" t="s">
        <v>950</v>
      </c>
      <c r="C33" s="6" t="s">
        <v>951</v>
      </c>
      <c r="D33" s="6" t="s">
        <v>952</v>
      </c>
      <c r="E33" s="6" t="s">
        <v>953</v>
      </c>
      <c r="F33" s="11" t="s">
        <v>12</v>
      </c>
      <c r="G33" s="6" t="s">
        <v>86</v>
      </c>
      <c r="H33" s="6" t="s">
        <v>296</v>
      </c>
      <c r="I33" s="6" t="s">
        <v>873</v>
      </c>
    </row>
    <row r="34" ht="34.2" spans="1:9">
      <c r="A34" s="11" t="s">
        <v>759</v>
      </c>
      <c r="B34" s="6" t="s">
        <v>954</v>
      </c>
      <c r="C34" s="6" t="s">
        <v>955</v>
      </c>
      <c r="D34" s="6" t="s">
        <v>956</v>
      </c>
      <c r="E34" s="6" t="s">
        <v>957</v>
      </c>
      <c r="F34" s="11" t="s">
        <v>15</v>
      </c>
      <c r="G34" s="6" t="s">
        <v>958</v>
      </c>
      <c r="H34" s="6" t="s">
        <v>959</v>
      </c>
      <c r="I34" s="6" t="s">
        <v>960</v>
      </c>
    </row>
    <row r="36" spans="1:9">
      <c r="A36" s="3" t="s">
        <v>961</v>
      </c>
    </row>
    <row r="37" spans="1:9">
      <c r="A37" s="10" t="s">
        <v>962</v>
      </c>
      <c r="B37" s="5" t="s">
        <v>963</v>
      </c>
      <c r="C37" s="5" t="s">
        <v>964</v>
      </c>
      <c r="D37" s="5" t="s">
        <v>787</v>
      </c>
      <c r="E37" s="10" t="s">
        <v>788</v>
      </c>
      <c r="F37" s="5" t="s">
        <v>87</v>
      </c>
      <c r="G37" s="5" t="s">
        <v>87</v>
      </c>
      <c r="H37" s="5" t="s">
        <v>87</v>
      </c>
      <c r="I37" s="5" t="s">
        <v>87</v>
      </c>
    </row>
    <row r="38" spans="1:9">
      <c r="A38" s="11" t="s">
        <v>965</v>
      </c>
      <c r="B38" s="6" t="s">
        <v>966</v>
      </c>
      <c r="C38" s="6" t="s">
        <v>967</v>
      </c>
      <c r="D38" s="6" t="s">
        <v>968</v>
      </c>
      <c r="E38" s="11" t="s">
        <v>12</v>
      </c>
      <c r="F38" s="6" t="s">
        <v>87</v>
      </c>
      <c r="G38" s="6" t="s">
        <v>87</v>
      </c>
      <c r="H38" s="6" t="s">
        <v>87</v>
      </c>
      <c r="I38" s="6" t="s">
        <v>87</v>
      </c>
    </row>
    <row r="39" ht="45.6" spans="1:9">
      <c r="A39" s="11" t="s">
        <v>969</v>
      </c>
      <c r="B39" s="6" t="s">
        <v>970</v>
      </c>
      <c r="C39" s="6" t="s">
        <v>967</v>
      </c>
      <c r="D39" s="6" t="s">
        <v>971</v>
      </c>
      <c r="E39" s="11" t="s">
        <v>12</v>
      </c>
      <c r="F39" s="6" t="s">
        <v>87</v>
      </c>
      <c r="G39" s="6" t="s">
        <v>87</v>
      </c>
      <c r="H39" s="6" t="s">
        <v>87</v>
      </c>
      <c r="I39" s="6" t="s">
        <v>87</v>
      </c>
    </row>
    <row r="40" ht="22.8" spans="1:9">
      <c r="A40" s="11" t="s">
        <v>972</v>
      </c>
      <c r="B40" s="6" t="s">
        <v>973</v>
      </c>
      <c r="C40" s="6" t="s">
        <v>967</v>
      </c>
      <c r="D40" s="6" t="s">
        <v>974</v>
      </c>
      <c r="E40" s="11" t="s">
        <v>12</v>
      </c>
      <c r="F40" s="6" t="s">
        <v>87</v>
      </c>
      <c r="G40" s="6" t="s">
        <v>87</v>
      </c>
      <c r="H40" s="6" t="s">
        <v>87</v>
      </c>
      <c r="I40" s="6" t="s">
        <v>87</v>
      </c>
    </row>
    <row r="41" ht="57" spans="1:9">
      <c r="A41" s="11" t="s">
        <v>975</v>
      </c>
      <c r="B41" s="6" t="s">
        <v>976</v>
      </c>
      <c r="C41" s="6" t="s">
        <v>967</v>
      </c>
      <c r="D41" s="6" t="s">
        <v>977</v>
      </c>
      <c r="E41" s="11" t="s">
        <v>12</v>
      </c>
      <c r="F41" s="6" t="s">
        <v>87</v>
      </c>
      <c r="G41" s="6" t="s">
        <v>87</v>
      </c>
      <c r="H41" s="6" t="s">
        <v>87</v>
      </c>
      <c r="I41" s="6" t="s">
        <v>87</v>
      </c>
    </row>
    <row r="42" ht="34.2" spans="1:9">
      <c r="A42" s="11" t="s">
        <v>978</v>
      </c>
      <c r="B42" s="6" t="s">
        <v>979</v>
      </c>
      <c r="C42" s="6" t="s">
        <v>967</v>
      </c>
      <c r="D42" s="6" t="s">
        <v>980</v>
      </c>
      <c r="E42" s="11" t="s">
        <v>12</v>
      </c>
      <c r="F42" s="6" t="s">
        <v>87</v>
      </c>
      <c r="G42" s="6" t="s">
        <v>87</v>
      </c>
      <c r="H42" s="6" t="s">
        <v>87</v>
      </c>
      <c r="I42" s="6" t="s">
        <v>87</v>
      </c>
    </row>
    <row r="43" ht="34.2" spans="1:9">
      <c r="A43" s="11" t="s">
        <v>981</v>
      </c>
      <c r="B43" s="6" t="s">
        <v>982</v>
      </c>
      <c r="C43" s="6" t="s">
        <v>967</v>
      </c>
      <c r="D43" s="6" t="s">
        <v>983</v>
      </c>
      <c r="E43" s="11" t="s">
        <v>12</v>
      </c>
      <c r="F43" s="6" t="s">
        <v>87</v>
      </c>
      <c r="G43" s="6" t="s">
        <v>87</v>
      </c>
      <c r="H43" s="6" t="s">
        <v>87</v>
      </c>
      <c r="I43" s="6" t="s">
        <v>87</v>
      </c>
    </row>
    <row r="44" ht="45.6" spans="1:9">
      <c r="A44" s="11" t="s">
        <v>633</v>
      </c>
      <c r="B44" s="6" t="s">
        <v>984</v>
      </c>
      <c r="C44" s="6" t="s">
        <v>985</v>
      </c>
      <c r="D44" s="6" t="s">
        <v>986</v>
      </c>
      <c r="E44" s="11" t="s">
        <v>12</v>
      </c>
      <c r="F44" s="6" t="s">
        <v>87</v>
      </c>
      <c r="G44" s="6" t="s">
        <v>87</v>
      </c>
      <c r="H44" s="6" t="s">
        <v>87</v>
      </c>
      <c r="I44" s="6" t="s">
        <v>87</v>
      </c>
    </row>
    <row r="45" ht="34.2" spans="1:9">
      <c r="A45" s="11" t="s">
        <v>646</v>
      </c>
      <c r="B45" s="6" t="s">
        <v>987</v>
      </c>
      <c r="C45" s="6" t="s">
        <v>988</v>
      </c>
      <c r="D45" s="6" t="s">
        <v>989</v>
      </c>
      <c r="E45" s="11" t="s">
        <v>12</v>
      </c>
      <c r="F45" s="6" t="s">
        <v>87</v>
      </c>
      <c r="G45" s="6" t="s">
        <v>87</v>
      </c>
      <c r="H45" s="6" t="s">
        <v>87</v>
      </c>
      <c r="I45" s="6" t="s">
        <v>87</v>
      </c>
    </row>
    <row r="46" ht="114" spans="1:9">
      <c r="A46" s="11" t="s">
        <v>650</v>
      </c>
      <c r="B46" s="6" t="s">
        <v>990</v>
      </c>
      <c r="C46" s="6" t="s">
        <v>991</v>
      </c>
      <c r="D46" s="6" t="s">
        <v>992</v>
      </c>
      <c r="E46" s="11" t="s">
        <v>12</v>
      </c>
      <c r="F46" s="6" t="s">
        <v>87</v>
      </c>
      <c r="G46" s="6" t="s">
        <v>87</v>
      </c>
      <c r="H46" s="6" t="s">
        <v>87</v>
      </c>
      <c r="I46" s="6" t="s">
        <v>87</v>
      </c>
    </row>
    <row r="47" ht="68.4" spans="1:9">
      <c r="A47" s="11" t="s">
        <v>561</v>
      </c>
      <c r="B47" s="6" t="s">
        <v>993</v>
      </c>
      <c r="C47" s="6" t="s">
        <v>994</v>
      </c>
      <c r="D47" s="6" t="s">
        <v>995</v>
      </c>
      <c r="E47" s="11" t="s">
        <v>12</v>
      </c>
      <c r="F47" s="6" t="s">
        <v>87</v>
      </c>
      <c r="G47" s="6" t="s">
        <v>87</v>
      </c>
      <c r="H47" s="6" t="s">
        <v>87</v>
      </c>
      <c r="I47" s="6" t="s">
        <v>87</v>
      </c>
    </row>
    <row r="48" ht="79.8" spans="1:9">
      <c r="A48" s="11" t="s">
        <v>570</v>
      </c>
      <c r="B48" s="6" t="s">
        <v>996</v>
      </c>
      <c r="C48" s="6" t="s">
        <v>997</v>
      </c>
      <c r="D48" s="6" t="s">
        <v>998</v>
      </c>
      <c r="E48" s="11" t="s">
        <v>12</v>
      </c>
      <c r="F48" s="6" t="s">
        <v>87</v>
      </c>
      <c r="G48" s="6" t="s">
        <v>87</v>
      </c>
      <c r="H48" s="6" t="s">
        <v>87</v>
      </c>
      <c r="I48" s="6" t="s">
        <v>87</v>
      </c>
    </row>
    <row r="49" ht="57" spans="1:9">
      <c r="A49" s="11" t="s">
        <v>233</v>
      </c>
      <c r="B49" s="6" t="s">
        <v>999</v>
      </c>
      <c r="C49" s="6" t="s">
        <v>1000</v>
      </c>
      <c r="D49" s="6" t="s">
        <v>1001</v>
      </c>
      <c r="E49" s="11" t="s">
        <v>12</v>
      </c>
      <c r="F49" s="6" t="s">
        <v>87</v>
      </c>
      <c r="G49" s="6" t="s">
        <v>87</v>
      </c>
      <c r="H49" s="6" t="s">
        <v>87</v>
      </c>
      <c r="I49" s="6" t="s">
        <v>87</v>
      </c>
    </row>
    <row r="50" ht="57" spans="1:9">
      <c r="A50" s="11" t="s">
        <v>1002</v>
      </c>
      <c r="B50" s="6" t="s">
        <v>1003</v>
      </c>
      <c r="C50" s="6" t="s">
        <v>1004</v>
      </c>
      <c r="D50" s="6" t="s">
        <v>1005</v>
      </c>
      <c r="E50" s="11" t="s">
        <v>12</v>
      </c>
      <c r="F50" s="6" t="s">
        <v>87</v>
      </c>
      <c r="G50" s="6" t="s">
        <v>87</v>
      </c>
      <c r="H50" s="6" t="s">
        <v>87</v>
      </c>
      <c r="I50" s="6" t="s">
        <v>87</v>
      </c>
    </row>
    <row r="51" ht="45.6" spans="1:9">
      <c r="A51" s="11" t="s">
        <v>312</v>
      </c>
      <c r="B51" s="6" t="s">
        <v>1006</v>
      </c>
      <c r="C51" s="6" t="s">
        <v>1007</v>
      </c>
      <c r="D51" s="6" t="s">
        <v>1008</v>
      </c>
      <c r="E51" s="11" t="s">
        <v>12</v>
      </c>
      <c r="F51" s="6" t="s">
        <v>87</v>
      </c>
      <c r="G51" s="6" t="s">
        <v>87</v>
      </c>
      <c r="H51" s="6" t="s">
        <v>87</v>
      </c>
      <c r="I51" s="6" t="s">
        <v>87</v>
      </c>
    </row>
    <row r="52" ht="102.6" spans="1:9">
      <c r="A52" s="11" t="s">
        <v>317</v>
      </c>
      <c r="B52" s="6" t="s">
        <v>1009</v>
      </c>
      <c r="C52" s="6" t="s">
        <v>1010</v>
      </c>
      <c r="D52" s="6" t="s">
        <v>1011</v>
      </c>
      <c r="E52" s="11" t="s">
        <v>12</v>
      </c>
      <c r="F52" s="6" t="s">
        <v>87</v>
      </c>
      <c r="G52" s="6" t="s">
        <v>87</v>
      </c>
      <c r="H52" s="6" t="s">
        <v>87</v>
      </c>
      <c r="I52" s="6" t="s">
        <v>87</v>
      </c>
    </row>
    <row r="53" ht="102.6" spans="1:9">
      <c r="A53" s="11" t="s">
        <v>321</v>
      </c>
      <c r="B53" s="6" t="s">
        <v>1012</v>
      </c>
      <c r="C53" s="6" t="s">
        <v>1013</v>
      </c>
      <c r="D53" s="6" t="s">
        <v>1014</v>
      </c>
      <c r="E53" s="11" t="s">
        <v>12</v>
      </c>
      <c r="F53" s="6" t="s">
        <v>87</v>
      </c>
      <c r="G53" s="6" t="s">
        <v>87</v>
      </c>
      <c r="H53" s="6" t="s">
        <v>87</v>
      </c>
      <c r="I53" s="6" t="s">
        <v>87</v>
      </c>
    </row>
    <row r="54" ht="91.2" spans="1:9">
      <c r="A54" s="11" t="s">
        <v>710</v>
      </c>
      <c r="B54" s="6" t="s">
        <v>1015</v>
      </c>
      <c r="C54" s="6" t="s">
        <v>1016</v>
      </c>
      <c r="D54" s="6" t="s">
        <v>1017</v>
      </c>
      <c r="E54" s="11" t="s">
        <v>12</v>
      </c>
      <c r="F54" s="6" t="s">
        <v>87</v>
      </c>
      <c r="G54" s="6" t="s">
        <v>87</v>
      </c>
      <c r="H54" s="6" t="s">
        <v>87</v>
      </c>
      <c r="I54" s="6" t="s">
        <v>87</v>
      </c>
    </row>
    <row r="55" ht="34.2" spans="1:9">
      <c r="A55" s="11" t="s">
        <v>715</v>
      </c>
      <c r="B55" s="6" t="s">
        <v>1018</v>
      </c>
      <c r="C55" s="6" t="s">
        <v>1019</v>
      </c>
      <c r="D55" s="6" t="s">
        <v>1020</v>
      </c>
      <c r="E55" s="11" t="s">
        <v>12</v>
      </c>
      <c r="F55" s="6" t="s">
        <v>87</v>
      </c>
      <c r="G55" s="6" t="s">
        <v>87</v>
      </c>
      <c r="H55" s="6" t="s">
        <v>87</v>
      </c>
      <c r="I55" s="6" t="s">
        <v>87</v>
      </c>
    </row>
    <row r="56" ht="34.2" spans="1:9">
      <c r="A56" s="11" t="s">
        <v>719</v>
      </c>
      <c r="B56" s="6" t="s">
        <v>1021</v>
      </c>
      <c r="C56" s="6" t="s">
        <v>1022</v>
      </c>
      <c r="D56" s="6" t="s">
        <v>1023</v>
      </c>
      <c r="E56" s="11" t="s">
        <v>12</v>
      </c>
      <c r="F56" s="6" t="s">
        <v>87</v>
      </c>
      <c r="G56" s="6" t="s">
        <v>87</v>
      </c>
      <c r="H56" s="6" t="s">
        <v>87</v>
      </c>
      <c r="I56" s="6" t="s">
        <v>87</v>
      </c>
    </row>
    <row r="57" ht="34.2" spans="1:9">
      <c r="A57" s="11" t="s">
        <v>722</v>
      </c>
      <c r="B57" s="6" t="s">
        <v>1024</v>
      </c>
      <c r="C57" s="6" t="s">
        <v>1025</v>
      </c>
      <c r="D57" s="6" t="s">
        <v>1026</v>
      </c>
      <c r="E57" s="11" t="s">
        <v>12</v>
      </c>
      <c r="F57" s="6" t="s">
        <v>87</v>
      </c>
      <c r="G57" s="6" t="s">
        <v>87</v>
      </c>
      <c r="H57" s="6" t="s">
        <v>87</v>
      </c>
      <c r="I57" s="6" t="s">
        <v>87</v>
      </c>
    </row>
    <row r="58" ht="34.2" spans="1:9">
      <c r="A58" s="11" t="s">
        <v>726</v>
      </c>
      <c r="B58" s="6" t="s">
        <v>1027</v>
      </c>
      <c r="C58" s="6" t="s">
        <v>1028</v>
      </c>
      <c r="D58" s="6" t="s">
        <v>1029</v>
      </c>
      <c r="E58" s="11" t="s">
        <v>12</v>
      </c>
      <c r="F58" s="6" t="s">
        <v>87</v>
      </c>
      <c r="G58" s="6" t="s">
        <v>87</v>
      </c>
      <c r="H58" s="6" t="s">
        <v>87</v>
      </c>
      <c r="I58" s="6" t="s">
        <v>87</v>
      </c>
    </row>
    <row r="59" ht="91.2" spans="1:9">
      <c r="A59" s="11" t="s">
        <v>481</v>
      </c>
      <c r="B59" s="6" t="s">
        <v>1030</v>
      </c>
      <c r="C59" s="6" t="s">
        <v>1031</v>
      </c>
      <c r="D59" s="6" t="s">
        <v>1032</v>
      </c>
      <c r="E59" s="11" t="s">
        <v>12</v>
      </c>
      <c r="F59" s="6" t="s">
        <v>87</v>
      </c>
      <c r="G59" s="6" t="s">
        <v>87</v>
      </c>
      <c r="H59" s="6" t="s">
        <v>87</v>
      </c>
      <c r="I59" s="6" t="s">
        <v>87</v>
      </c>
    </row>
    <row r="60" ht="34.2" spans="1:9">
      <c r="A60" s="11" t="s">
        <v>505</v>
      </c>
      <c r="B60" s="6" t="s">
        <v>1033</v>
      </c>
      <c r="C60" s="6" t="s">
        <v>1034</v>
      </c>
      <c r="D60" s="6" t="s">
        <v>1035</v>
      </c>
      <c r="E60" s="11" t="s">
        <v>12</v>
      </c>
      <c r="F60" s="6" t="s">
        <v>87</v>
      </c>
      <c r="G60" s="6" t="s">
        <v>87</v>
      </c>
      <c r="H60" s="6" t="s">
        <v>87</v>
      </c>
      <c r="I60" s="6" t="s">
        <v>87</v>
      </c>
    </row>
    <row r="61" ht="45.6" spans="1:9">
      <c r="A61" s="11" t="s">
        <v>677</v>
      </c>
      <c r="B61" s="6" t="s">
        <v>1036</v>
      </c>
      <c r="C61" s="6" t="s">
        <v>1037</v>
      </c>
      <c r="D61" s="6" t="s">
        <v>1038</v>
      </c>
      <c r="E61" s="11" t="s">
        <v>12</v>
      </c>
      <c r="F61" s="6" t="s">
        <v>87</v>
      </c>
      <c r="G61" s="6" t="s">
        <v>87</v>
      </c>
      <c r="H61" s="6" t="s">
        <v>87</v>
      </c>
      <c r="I61" s="6" t="s">
        <v>87</v>
      </c>
    </row>
    <row r="62" ht="34.2" spans="1:9">
      <c r="A62" s="11" t="s">
        <v>701</v>
      </c>
      <c r="B62" s="6" t="s">
        <v>1039</v>
      </c>
      <c r="C62" s="6" t="s">
        <v>1040</v>
      </c>
      <c r="D62" s="6" t="s">
        <v>1041</v>
      </c>
      <c r="E62" s="11" t="s">
        <v>12</v>
      </c>
      <c r="F62" s="6" t="s">
        <v>87</v>
      </c>
      <c r="G62" s="6" t="s">
        <v>87</v>
      </c>
      <c r="H62" s="6" t="s">
        <v>87</v>
      </c>
      <c r="I62" s="6" t="s">
        <v>87</v>
      </c>
    </row>
    <row r="63" ht="57" spans="1:9">
      <c r="A63" s="11" t="s">
        <v>705</v>
      </c>
      <c r="B63" s="6" t="s">
        <v>1042</v>
      </c>
      <c r="C63" s="6" t="s">
        <v>1043</v>
      </c>
      <c r="D63" s="6" t="s">
        <v>1044</v>
      </c>
      <c r="E63" s="11" t="s">
        <v>12</v>
      </c>
      <c r="F63" s="6" t="s">
        <v>87</v>
      </c>
      <c r="G63" s="6" t="s">
        <v>87</v>
      </c>
      <c r="H63" s="6" t="s">
        <v>87</v>
      </c>
      <c r="I63" s="6" t="s">
        <v>87</v>
      </c>
    </row>
    <row r="64" ht="114" spans="1:9">
      <c r="A64" s="11" t="s">
        <v>777</v>
      </c>
      <c r="B64" s="6" t="s">
        <v>1045</v>
      </c>
      <c r="C64" s="6" t="s">
        <v>1046</v>
      </c>
      <c r="D64" s="6" t="s">
        <v>1047</v>
      </c>
      <c r="E64" s="11" t="s">
        <v>12</v>
      </c>
      <c r="F64" s="6" t="s">
        <v>87</v>
      </c>
      <c r="G64" s="6" t="s">
        <v>87</v>
      </c>
      <c r="H64" s="6" t="s">
        <v>87</v>
      </c>
      <c r="I64" s="6" t="s">
        <v>87</v>
      </c>
    </row>
  </sheetData>
  <autoFilter xmlns:etc="http://www.wps.cn/officeDocument/2017/etCustomData" ref="A4:I34" etc:filterBottomFollowUsedRange="0">
    <extLst/>
  </autoFilter>
  <conditionalFormatting sqref="E38:E64">
    <cfRule type="cellIs" dxfId="0" priority="7" operator="equal">
      <formula>"PASS"</formula>
    </cfRule>
    <cfRule type="cellIs" dxfId="3" priority="8" operator="equal">
      <formula>"PASS*"</formula>
    </cfRule>
    <cfRule type="cellIs" dxfId="1" priority="9" operator="equal">
      <formula>"PARTIAL"</formula>
    </cfRule>
    <cfRule type="cellIs" dxfId="2" priority="10" operator="equal">
      <formula>"NOT BUILT"</formula>
    </cfRule>
    <cfRule type="cellIs" dxfId="4" priority="11" operator="equal">
      <formula>"FAIL"</formula>
    </cfRule>
    <cfRule type="cellIs" dxfId="5" priority="12" operator="equal">
      <formula>"ERROR"</formula>
    </cfRule>
  </conditionalFormatting>
  <conditionalFormatting sqref="F5:F34">
    <cfRule type="cellIs" dxfId="0" priority="1" operator="equal">
      <formula>"PASS"</formula>
    </cfRule>
    <cfRule type="cellIs" dxfId="3" priority="2" operator="equal">
      <formula>"PASS*"</formula>
    </cfRule>
    <cfRule type="cellIs" dxfId="1" priority="3" operator="equal">
      <formula>"PARTIAL"</formula>
    </cfRule>
    <cfRule type="cellIs" dxfId="2" priority="4" operator="equal">
      <formula>"NOT BUILT"</formula>
    </cfRule>
    <cfRule type="cellIs" dxfId="4" priority="5" operator="equal">
      <formula>"FAIL"</formula>
    </cfRule>
    <cfRule type="cellIs" dxfId="5" priority="6" operator="equal">
      <formula>"ERROR"</formula>
    </cfRule>
  </conditionalFormatting>
  <pageMargins left="0.3" right="0.3" top="0.5" bottom="0.5" header="0.5" footer="0.5"/>
  <pageSetup paperSize="1" scale="61"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4.4" outlineLevelCol="7"/>
  <cols>
    <col min="1" max="1" width="7" customWidth="1"/>
    <col min="2" max="2" width="32" customWidth="1"/>
    <col min="3" max="3" width="10" customWidth="1"/>
    <col min="4" max="5" width="44" customWidth="1"/>
    <col min="6" max="6" width="10" customWidth="1"/>
    <col min="7" max="7" width="22" customWidth="1"/>
    <col min="8" max="8" width="11" customWidth="1"/>
  </cols>
  <sheetData>
    <row r="1" ht="19.2" spans="1:8">
      <c r="A1" s="1" t="s">
        <v>1048</v>
      </c>
    </row>
    <row r="2" spans="1:8">
      <c r="A2" s="2" t="s">
        <v>1049</v>
      </c>
    </row>
    <row r="4" ht="24" spans="1:8">
      <c r="A4" s="10" t="s">
        <v>1050</v>
      </c>
      <c r="B4" s="5" t="s">
        <v>1051</v>
      </c>
      <c r="C4" s="10" t="s">
        <v>1052</v>
      </c>
      <c r="D4" s="5" t="s">
        <v>1053</v>
      </c>
      <c r="E4" s="5" t="s">
        <v>1054</v>
      </c>
      <c r="F4" s="10" t="s">
        <v>71</v>
      </c>
      <c r="G4" s="5" t="s">
        <v>1055</v>
      </c>
      <c r="H4" s="10" t="s">
        <v>75</v>
      </c>
    </row>
    <row r="5" ht="22.8" spans="1:8">
      <c r="A5" s="11" t="s">
        <v>965</v>
      </c>
      <c r="B5" s="6" t="s">
        <v>1056</v>
      </c>
      <c r="C5" s="11" t="s">
        <v>1057</v>
      </c>
      <c r="D5" s="6" t="s">
        <v>1058</v>
      </c>
      <c r="E5" s="6" t="s">
        <v>968</v>
      </c>
      <c r="F5" s="11" t="s">
        <v>27</v>
      </c>
      <c r="G5" s="6" t="s">
        <v>1059</v>
      </c>
      <c r="H5" s="11" t="s">
        <v>98</v>
      </c>
    </row>
    <row r="6" ht="34.2" spans="1:8">
      <c r="A6" s="11" t="s">
        <v>969</v>
      </c>
      <c r="B6" s="6" t="s">
        <v>1060</v>
      </c>
      <c r="C6" s="11" t="s">
        <v>1061</v>
      </c>
      <c r="D6" s="6" t="s">
        <v>1062</v>
      </c>
      <c r="E6" s="6" t="s">
        <v>971</v>
      </c>
      <c r="F6" s="11" t="s">
        <v>27</v>
      </c>
      <c r="G6" s="6" t="s">
        <v>570</v>
      </c>
      <c r="H6" s="11" t="s">
        <v>98</v>
      </c>
    </row>
    <row r="7" ht="22.8" spans="1:8">
      <c r="A7" s="11" t="s">
        <v>972</v>
      </c>
      <c r="B7" s="6" t="s">
        <v>1063</v>
      </c>
      <c r="C7" s="11" t="s">
        <v>1061</v>
      </c>
      <c r="D7" s="6" t="s">
        <v>1064</v>
      </c>
      <c r="E7" s="6" t="s">
        <v>974</v>
      </c>
      <c r="F7" s="11" t="s">
        <v>27</v>
      </c>
      <c r="G7" s="6" t="s">
        <v>284</v>
      </c>
      <c r="H7" s="11" t="s">
        <v>98</v>
      </c>
    </row>
    <row r="8" ht="45.6" spans="1:8">
      <c r="A8" s="11" t="s">
        <v>975</v>
      </c>
      <c r="B8" s="6" t="s">
        <v>1065</v>
      </c>
      <c r="C8" s="11" t="s">
        <v>1061</v>
      </c>
      <c r="D8" s="6" t="s">
        <v>1066</v>
      </c>
      <c r="E8" s="6" t="s">
        <v>977</v>
      </c>
      <c r="F8" s="11" t="s">
        <v>27</v>
      </c>
      <c r="G8" s="6" t="s">
        <v>1067</v>
      </c>
      <c r="H8" s="11" t="s">
        <v>98</v>
      </c>
    </row>
    <row r="9" ht="22.8" spans="1:8">
      <c r="A9" s="11" t="s">
        <v>978</v>
      </c>
      <c r="B9" s="6" t="s">
        <v>1068</v>
      </c>
      <c r="C9" s="11" t="s">
        <v>1061</v>
      </c>
      <c r="D9" s="6" t="s">
        <v>1069</v>
      </c>
      <c r="E9" s="6" t="s">
        <v>980</v>
      </c>
      <c r="F9" s="11" t="s">
        <v>27</v>
      </c>
      <c r="G9" s="6" t="s">
        <v>1070</v>
      </c>
      <c r="H9" s="11" t="s">
        <v>98</v>
      </c>
    </row>
    <row r="10" ht="22.8" spans="1:8">
      <c r="A10" s="11" t="s">
        <v>981</v>
      </c>
      <c r="B10" s="6" t="s">
        <v>1071</v>
      </c>
      <c r="C10" s="11" t="s">
        <v>1057</v>
      </c>
      <c r="D10" s="6" t="s">
        <v>1072</v>
      </c>
      <c r="E10" s="6" t="s">
        <v>983</v>
      </c>
      <c r="F10" s="11" t="s">
        <v>27</v>
      </c>
      <c r="G10" s="6" t="s">
        <v>1073</v>
      </c>
      <c r="H10" s="11" t="s">
        <v>98</v>
      </c>
    </row>
  </sheetData>
  <conditionalFormatting sqref="C5:C10">
    <cfRule type="cellIs" dxfId="4" priority="1" operator="equal">
      <formula>"High"</formula>
    </cfRule>
    <cfRule type="cellIs" dxfId="1" priority="2" operator="equal">
      <formula>"Medium"</formula>
    </cfRule>
  </conditionalFormatting>
  <conditionalFormatting sqref="F5:F10">
    <cfRule type="cellIs" dxfId="0" priority="3" operator="equal">
      <formula>"Fixed"</formula>
    </cfRule>
    <cfRule type="cellIs" dxfId="4" priority="4" operator="equal">
      <formula>"Open"</formula>
    </cfRule>
  </conditionalFormatting>
  <pageMargins left="0.3" right="0.3" top="0.5" bottom="0.5" header="0.5" footer="0.5"/>
  <pageSetup paperSize="1" scale="73"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
  <sheetViews>
    <sheetView showGridLines="0" workbookViewId="0">
      <pane xSplit="2" ySplit="4" topLeftCell="C5" activePane="bottomRight" state="frozen"/>
      <selection/>
      <selection pane="topRight"/>
      <selection pane="bottomLeft"/>
      <selection pane="bottomRight" activeCell="A1" sqref="A1"/>
    </sheetView>
  </sheetViews>
  <sheetFormatPr defaultColWidth="9" defaultRowHeight="14.4" outlineLevelCol="5"/>
  <cols>
    <col min="1" max="1" width="16" customWidth="1"/>
    <col min="2" max="3" width="30" customWidth="1"/>
    <col min="4" max="4" width="62" customWidth="1"/>
    <col min="5" max="5" width="11" customWidth="1"/>
    <col min="6" max="6" width="46" customWidth="1"/>
  </cols>
  <sheetData>
    <row r="1" ht="19.2" spans="1:6">
      <c r="A1" s="1" t="s">
        <v>1074</v>
      </c>
    </row>
    <row r="2" spans="1:6">
      <c r="A2" s="2" t="s">
        <v>1075</v>
      </c>
    </row>
    <row r="4" spans="1:6">
      <c r="A4" s="5" t="s">
        <v>1076</v>
      </c>
      <c r="B4" s="5" t="s">
        <v>1077</v>
      </c>
      <c r="C4" s="5" t="s">
        <v>1078</v>
      </c>
      <c r="D4" s="5" t="s">
        <v>1079</v>
      </c>
      <c r="E4" s="10" t="s">
        <v>788</v>
      </c>
      <c r="F4" s="5" t="s">
        <v>1080</v>
      </c>
    </row>
    <row r="5" ht="45.6" spans="1:6">
      <c r="A5" s="15" t="s">
        <v>1081</v>
      </c>
      <c r="B5" s="6" t="s">
        <v>1082</v>
      </c>
      <c r="C5" s="6" t="s">
        <v>1083</v>
      </c>
      <c r="D5" s="6" t="s">
        <v>1084</v>
      </c>
      <c r="E5" s="11" t="s">
        <v>4</v>
      </c>
      <c r="F5" s="6" t="s">
        <v>1085</v>
      </c>
    </row>
    <row r="6" ht="45.6" spans="1:6">
      <c r="A6" s="15" t="s">
        <v>754</v>
      </c>
      <c r="B6" s="6" t="s">
        <v>1086</v>
      </c>
      <c r="C6" s="6" t="s">
        <v>1087</v>
      </c>
      <c r="D6" s="6" t="s">
        <v>1088</v>
      </c>
      <c r="E6" s="11" t="s">
        <v>27</v>
      </c>
      <c r="F6" s="6" t="s">
        <v>1089</v>
      </c>
    </row>
    <row r="7" ht="45.6" spans="1:6">
      <c r="A7" s="15" t="s">
        <v>1090</v>
      </c>
      <c r="B7" s="6" t="s">
        <v>1091</v>
      </c>
      <c r="C7" s="6" t="s">
        <v>1092</v>
      </c>
      <c r="D7" s="6" t="s">
        <v>1093</v>
      </c>
      <c r="E7" s="11" t="s">
        <v>27</v>
      </c>
      <c r="F7" s="6" t="s">
        <v>1094</v>
      </c>
    </row>
    <row r="8" ht="34.2" spans="1:6">
      <c r="A8" s="15" t="s">
        <v>1095</v>
      </c>
      <c r="B8" s="6" t="s">
        <v>1096</v>
      </c>
      <c r="C8" s="6" t="s">
        <v>1097</v>
      </c>
      <c r="D8" s="6" t="s">
        <v>1098</v>
      </c>
      <c r="E8" s="11" t="s">
        <v>6</v>
      </c>
      <c r="F8" s="6" t="s">
        <v>1099</v>
      </c>
    </row>
    <row r="9" spans="1:6">
      <c r="A9" s="15" t="s">
        <v>1100</v>
      </c>
      <c r="B9" s="6" t="s">
        <v>1101</v>
      </c>
      <c r="C9" s="6" t="s">
        <v>1102</v>
      </c>
      <c r="D9" s="6" t="s">
        <v>1103</v>
      </c>
      <c r="E9" s="11" t="s">
        <v>4</v>
      </c>
      <c r="F9" s="6" t="s">
        <v>1104</v>
      </c>
    </row>
    <row r="10" ht="22.8" spans="1:6">
      <c r="A10" s="15" t="s">
        <v>1105</v>
      </c>
      <c r="B10" s="6" t="s">
        <v>1106</v>
      </c>
      <c r="C10" s="6" t="s">
        <v>1107</v>
      </c>
      <c r="D10" s="6" t="s">
        <v>1108</v>
      </c>
      <c r="E10" s="11" t="s">
        <v>4</v>
      </c>
      <c r="F10" s="6" t="s">
        <v>1104</v>
      </c>
    </row>
    <row r="11" ht="22.8" spans="1:6">
      <c r="A11" s="15" t="s">
        <v>1109</v>
      </c>
      <c r="B11" s="6" t="s">
        <v>1110</v>
      </c>
      <c r="C11" s="6" t="s">
        <v>1111</v>
      </c>
      <c r="D11" s="6" t="s">
        <v>1112</v>
      </c>
      <c r="E11" s="11" t="s">
        <v>4</v>
      </c>
      <c r="F11" s="6" t="s">
        <v>1113</v>
      </c>
    </row>
    <row r="12" ht="22.8" spans="1:6">
      <c r="A12" s="15" t="s">
        <v>1114</v>
      </c>
      <c r="B12" s="6" t="s">
        <v>1115</v>
      </c>
      <c r="C12" s="6" t="s">
        <v>1116</v>
      </c>
      <c r="D12" s="6" t="s">
        <v>1117</v>
      </c>
      <c r="E12" s="11" t="s">
        <v>51</v>
      </c>
      <c r="F12" s="6" t="s">
        <v>1118</v>
      </c>
    </row>
    <row r="13" ht="34.2" spans="1:6">
      <c r="A13" s="15" t="s">
        <v>1119</v>
      </c>
      <c r="B13" s="6" t="s">
        <v>1120</v>
      </c>
      <c r="C13" s="6" t="s">
        <v>1121</v>
      </c>
      <c r="D13" s="6" t="s">
        <v>1122</v>
      </c>
      <c r="E13" s="11" t="s">
        <v>6</v>
      </c>
      <c r="F13" s="6" t="s">
        <v>1123</v>
      </c>
    </row>
    <row r="14" ht="34.2" spans="1:6">
      <c r="A14" s="15" t="s">
        <v>1124</v>
      </c>
      <c r="B14" s="6" t="s">
        <v>1125</v>
      </c>
      <c r="C14" s="6" t="s">
        <v>1126</v>
      </c>
      <c r="D14" s="6" t="s">
        <v>1127</v>
      </c>
      <c r="E14" s="11" t="s">
        <v>6</v>
      </c>
      <c r="F14" s="6" t="s">
        <v>1128</v>
      </c>
    </row>
    <row r="15" ht="34.2" spans="1:6">
      <c r="A15" s="15" t="s">
        <v>1129</v>
      </c>
      <c r="B15" s="6" t="s">
        <v>1130</v>
      </c>
      <c r="C15" s="6" t="s">
        <v>1131</v>
      </c>
      <c r="D15" s="6" t="s">
        <v>1132</v>
      </c>
      <c r="E15" s="11" t="s">
        <v>6</v>
      </c>
      <c r="F15" s="6" t="s">
        <v>1133</v>
      </c>
    </row>
    <row r="16" ht="34.2" spans="1:6">
      <c r="A16" s="15" t="s">
        <v>1134</v>
      </c>
      <c r="B16" s="6" t="s">
        <v>1135</v>
      </c>
      <c r="C16" s="6" t="s">
        <v>1136</v>
      </c>
      <c r="D16" s="6" t="s">
        <v>1137</v>
      </c>
      <c r="E16" s="11" t="s">
        <v>47</v>
      </c>
      <c r="F16" s="6" t="s">
        <v>1138</v>
      </c>
    </row>
    <row r="17" ht="22.8" spans="1:6">
      <c r="A17" s="15" t="s">
        <v>1139</v>
      </c>
      <c r="B17" s="6" t="s">
        <v>1140</v>
      </c>
      <c r="C17" s="6" t="s">
        <v>1141</v>
      </c>
      <c r="D17" s="6" t="s">
        <v>1142</v>
      </c>
      <c r="E17" s="11" t="s">
        <v>49</v>
      </c>
      <c r="F17" s="6" t="s">
        <v>1143</v>
      </c>
    </row>
    <row r="18" ht="22.8" spans="1:6">
      <c r="A18" s="15" t="s">
        <v>734</v>
      </c>
      <c r="B18" s="6" t="s">
        <v>1144</v>
      </c>
      <c r="C18" s="6" t="s">
        <v>1145</v>
      </c>
      <c r="D18" s="6" t="s">
        <v>1146</v>
      </c>
      <c r="E18" s="11" t="s">
        <v>4</v>
      </c>
      <c r="F18" s="6" t="s">
        <v>1147</v>
      </c>
    </row>
    <row r="19" ht="34.2" spans="1:6">
      <c r="A19" s="15" t="s">
        <v>748</v>
      </c>
      <c r="B19" s="6" t="s">
        <v>1148</v>
      </c>
      <c r="C19" s="6" t="s">
        <v>1149</v>
      </c>
      <c r="D19" s="6" t="s">
        <v>1150</v>
      </c>
      <c r="E19" s="11" t="s">
        <v>4</v>
      </c>
      <c r="F19" s="6" t="s">
        <v>1147</v>
      </c>
    </row>
    <row r="20" ht="34.2" spans="1:6">
      <c r="A20" s="15" t="s">
        <v>1151</v>
      </c>
      <c r="B20" s="6" t="s">
        <v>1152</v>
      </c>
      <c r="C20" s="6" t="s">
        <v>1153</v>
      </c>
      <c r="D20" s="6" t="s">
        <v>1154</v>
      </c>
      <c r="E20" s="11" t="s">
        <v>4</v>
      </c>
      <c r="F20" s="6" t="s">
        <v>1147</v>
      </c>
    </row>
  </sheetData>
  <autoFilter xmlns:etc="http://www.wps.cn/officeDocument/2017/etCustomData" ref="A4:F20" etc:filterBottomFollowUsedRange="0">
    <extLst/>
  </autoFilter>
  <conditionalFormatting sqref="E5:E20">
    <cfRule type="cellIs" dxfId="0" priority="1" operator="equal">
      <formula>"Met"</formula>
    </cfRule>
    <cfRule type="cellIs" dxfId="6" priority="2" operator="equal">
      <formula>"Fixed"</formula>
    </cfRule>
    <cfRule type="cellIs" dxfId="1" priority="3" operator="equal">
      <formula>"To verify"</formula>
    </cfRule>
    <cfRule type="cellIs" dxfId="1" priority="4" operator="equal">
      <formula>"Risk"</formula>
    </cfRule>
    <cfRule type="cellIs" dxfId="5" priority="5" operator="equal">
      <formula>"Not tested"</formula>
    </cfRule>
    <cfRule type="cellIs" dxfId="2" priority="6" operator="equal">
      <formula>"Not met"</formula>
    </cfRule>
    <cfRule type="cellIs" dxfId="4" priority="7" operator="equal">
      <formula>"Blocked"</formula>
    </cfRule>
  </conditionalFormatting>
  <dataValidations count="1">
    <dataValidation type="list" sqref="E5:E20">
      <formula1>"Met,Fixed,To verify,Risk,Not tested,Not met,Blocked"</formula1>
    </dataValidation>
  </dataValidations>
  <pageMargins left="0.3" right="0.3" top="0.5" bottom="0.5" header="0.5" footer="0.5"/>
  <pageSetup paperSize="1" scale="68"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1"/>
  <sheetViews>
    <sheetView showGridLines="0" workbookViewId="0">
      <selection activeCell="A1" sqref="A1"/>
    </sheetView>
  </sheetViews>
  <sheetFormatPr defaultColWidth="9" defaultRowHeight="14.4" outlineLevelCol="3"/>
  <cols>
    <col min="1" max="1" width="9" customWidth="1"/>
    <col min="2" max="2" width="60" customWidth="1"/>
    <col min="3" max="3" width="13" customWidth="1"/>
    <col min="4" max="4" width="56" customWidth="1"/>
  </cols>
  <sheetData>
    <row r="1" ht="19.2" spans="1:4">
      <c r="A1" s="1" t="s">
        <v>1155</v>
      </c>
    </row>
    <row r="2" spans="1:4">
      <c r="A2" s="2" t="s">
        <v>1156</v>
      </c>
    </row>
    <row r="4" spans="1:4">
      <c r="A4" s="3" t="s">
        <v>1157</v>
      </c>
    </row>
    <row r="5" spans="1:4">
      <c r="A5" s="10" t="s">
        <v>1158</v>
      </c>
      <c r="B5" s="5" t="s">
        <v>1159</v>
      </c>
      <c r="C5" s="10" t="s">
        <v>71</v>
      </c>
      <c r="D5" s="5" t="s">
        <v>1160</v>
      </c>
    </row>
    <row r="6" spans="1:4">
      <c r="A6" s="11" t="s">
        <v>802</v>
      </c>
      <c r="B6" s="6" t="s">
        <v>1161</v>
      </c>
      <c r="C6" s="11" t="s">
        <v>4</v>
      </c>
      <c r="D6" s="6" t="s">
        <v>1162</v>
      </c>
    </row>
    <row r="7" spans="1:4">
      <c r="A7" s="11" t="s">
        <v>809</v>
      </c>
      <c r="B7" s="6" t="s">
        <v>1163</v>
      </c>
      <c r="C7" s="11" t="s">
        <v>4</v>
      </c>
      <c r="D7" s="6" t="s">
        <v>1164</v>
      </c>
    </row>
    <row r="8" spans="1:4">
      <c r="A8" s="11" t="s">
        <v>857</v>
      </c>
      <c r="B8" s="6" t="s">
        <v>1165</v>
      </c>
      <c r="C8" s="11" t="s">
        <v>4</v>
      </c>
      <c r="D8" s="6" t="s">
        <v>1166</v>
      </c>
    </row>
    <row r="9" spans="1:4">
      <c r="A9" s="11" t="s">
        <v>1167</v>
      </c>
      <c r="B9" s="6" t="s">
        <v>1168</v>
      </c>
      <c r="C9" s="11" t="s">
        <v>4</v>
      </c>
      <c r="D9" s="6" t="s">
        <v>1169</v>
      </c>
    </row>
    <row r="10" spans="1:4">
      <c r="A10" s="11" t="s">
        <v>879</v>
      </c>
      <c r="B10" s="6" t="s">
        <v>1170</v>
      </c>
      <c r="C10" s="11" t="s">
        <v>4</v>
      </c>
      <c r="D10" s="6" t="s">
        <v>1171</v>
      </c>
    </row>
    <row r="11" spans="1:4">
      <c r="A11" s="11" t="s">
        <v>897</v>
      </c>
      <c r="B11" s="6" t="s">
        <v>1172</v>
      </c>
      <c r="C11" s="11" t="s">
        <v>4</v>
      </c>
      <c r="D11" s="6" t="s">
        <v>1173</v>
      </c>
    </row>
    <row r="12" spans="1:4">
      <c r="A12" s="11" t="s">
        <v>1174</v>
      </c>
      <c r="B12" s="6" t="s">
        <v>1175</v>
      </c>
      <c r="C12" s="11" t="s">
        <v>4</v>
      </c>
      <c r="D12" s="6" t="s">
        <v>1176</v>
      </c>
    </row>
    <row r="13" spans="1:4">
      <c r="A13" s="11" t="s">
        <v>873</v>
      </c>
      <c r="B13" s="6" t="s">
        <v>1177</v>
      </c>
      <c r="C13" s="11" t="s">
        <v>4</v>
      </c>
      <c r="D13" s="6" t="s">
        <v>1178</v>
      </c>
    </row>
    <row r="14" ht="22.8" spans="1:4">
      <c r="A14" s="11" t="s">
        <v>910</v>
      </c>
      <c r="B14" s="6" t="s">
        <v>1179</v>
      </c>
      <c r="C14" s="11" t="s">
        <v>5</v>
      </c>
      <c r="D14" s="6" t="s">
        <v>1180</v>
      </c>
    </row>
    <row r="15" spans="1:4">
      <c r="A15" s="11" t="s">
        <v>1181</v>
      </c>
      <c r="B15" s="6" t="s">
        <v>1182</v>
      </c>
      <c r="C15" s="11" t="s">
        <v>4</v>
      </c>
      <c r="D15" s="6" t="s">
        <v>1183</v>
      </c>
    </row>
    <row r="16" spans="1:4">
      <c r="A16" s="11" t="s">
        <v>815</v>
      </c>
      <c r="B16" s="6" t="s">
        <v>1184</v>
      </c>
      <c r="C16" s="11" t="s">
        <v>4</v>
      </c>
      <c r="D16" s="6" t="s">
        <v>1185</v>
      </c>
    </row>
    <row r="17" spans="1:4">
      <c r="A17" s="11" t="s">
        <v>1186</v>
      </c>
      <c r="B17" s="6" t="s">
        <v>1187</v>
      </c>
      <c r="C17" s="11" t="s">
        <v>4</v>
      </c>
      <c r="D17" s="6" t="s">
        <v>1188</v>
      </c>
    </row>
    <row r="18" ht="22.8" spans="1:4">
      <c r="A18" s="11" t="s">
        <v>1189</v>
      </c>
      <c r="B18" s="6" t="s">
        <v>1190</v>
      </c>
      <c r="C18" s="11" t="s">
        <v>5</v>
      </c>
      <c r="D18" s="6" t="s">
        <v>1191</v>
      </c>
    </row>
    <row r="19" spans="1:4">
      <c r="A19" s="11" t="s">
        <v>826</v>
      </c>
      <c r="B19" s="6" t="s">
        <v>1192</v>
      </c>
      <c r="C19" s="11" t="s">
        <v>4</v>
      </c>
      <c r="D19" s="6" t="s">
        <v>1193</v>
      </c>
    </row>
    <row r="20" spans="1:4">
      <c r="A20" s="11" t="s">
        <v>847</v>
      </c>
      <c r="B20" s="6" t="s">
        <v>1194</v>
      </c>
      <c r="C20" s="11" t="s">
        <v>4</v>
      </c>
      <c r="D20" s="6" t="s">
        <v>1195</v>
      </c>
    </row>
    <row r="21" spans="1:4">
      <c r="A21" s="11" t="s">
        <v>862</v>
      </c>
      <c r="B21" s="6" t="s">
        <v>1196</v>
      </c>
      <c r="C21" s="11" t="s">
        <v>4</v>
      </c>
      <c r="D21" s="6" t="s">
        <v>1197</v>
      </c>
    </row>
    <row r="22" ht="22.8" spans="1:4">
      <c r="A22" s="11" t="s">
        <v>867</v>
      </c>
      <c r="B22" s="6" t="s">
        <v>1198</v>
      </c>
      <c r="C22" s="11" t="s">
        <v>4</v>
      </c>
      <c r="D22" s="6" t="s">
        <v>1199</v>
      </c>
    </row>
    <row r="23" spans="1:4">
      <c r="A23" s="11" t="s">
        <v>1200</v>
      </c>
      <c r="B23" s="6" t="s">
        <v>1201</v>
      </c>
      <c r="C23" s="11" t="s">
        <v>4</v>
      </c>
      <c r="D23" s="6" t="s">
        <v>1202</v>
      </c>
    </row>
    <row r="24" spans="1:4">
      <c r="A24" s="11" t="s">
        <v>884</v>
      </c>
      <c r="B24" s="6" t="s">
        <v>1203</v>
      </c>
      <c r="C24" s="11" t="s">
        <v>4</v>
      </c>
      <c r="D24" s="6" t="s">
        <v>1204</v>
      </c>
    </row>
    <row r="25" spans="1:4">
      <c r="A25" s="11" t="s">
        <v>1205</v>
      </c>
      <c r="B25" s="6" t="s">
        <v>1206</v>
      </c>
      <c r="C25" s="11" t="s">
        <v>4</v>
      </c>
      <c r="D25" s="6" t="s">
        <v>1207</v>
      </c>
    </row>
    <row r="26" ht="22.8" spans="1:4">
      <c r="A26" s="11" t="s">
        <v>1208</v>
      </c>
      <c r="B26" s="6" t="s">
        <v>1209</v>
      </c>
      <c r="C26" s="11" t="s">
        <v>4</v>
      </c>
      <c r="D26" s="6" t="s">
        <v>1210</v>
      </c>
    </row>
    <row r="27" spans="1:4">
      <c r="A27" s="11" t="s">
        <v>1211</v>
      </c>
      <c r="B27" s="6" t="s">
        <v>1212</v>
      </c>
      <c r="C27" s="11" t="s">
        <v>4</v>
      </c>
      <c r="D27" s="6" t="s">
        <v>1213</v>
      </c>
    </row>
    <row r="28" spans="1:4">
      <c r="A28" s="11" t="s">
        <v>933</v>
      </c>
      <c r="B28" s="6" t="s">
        <v>1214</v>
      </c>
      <c r="C28" s="11" t="s">
        <v>4</v>
      </c>
      <c r="D28" s="6" t="s">
        <v>1215</v>
      </c>
    </row>
    <row r="29" spans="1:4">
      <c r="A29" s="11" t="s">
        <v>938</v>
      </c>
      <c r="B29" s="6" t="s">
        <v>1216</v>
      </c>
      <c r="C29" s="11" t="s">
        <v>4</v>
      </c>
      <c r="D29" s="6" t="s">
        <v>1217</v>
      </c>
    </row>
    <row r="30" spans="1:4">
      <c r="A30" s="11" t="s">
        <v>1218</v>
      </c>
      <c r="B30" s="6" t="s">
        <v>1219</v>
      </c>
      <c r="C30" s="11" t="s">
        <v>4</v>
      </c>
      <c r="D30" s="6" t="s">
        <v>1220</v>
      </c>
    </row>
    <row r="31" ht="22.8" spans="1:4">
      <c r="A31" s="11" t="s">
        <v>960</v>
      </c>
      <c r="B31" s="6" t="s">
        <v>1221</v>
      </c>
      <c r="C31" s="11" t="s">
        <v>4</v>
      </c>
      <c r="D31" s="6" t="s">
        <v>1222</v>
      </c>
    </row>
    <row r="32" spans="1:4">
      <c r="A32" s="11" t="s">
        <v>841</v>
      </c>
      <c r="B32" s="6" t="s">
        <v>1223</v>
      </c>
      <c r="C32" s="11" t="s">
        <v>4</v>
      </c>
      <c r="D32" s="6" t="s">
        <v>1224</v>
      </c>
    </row>
    <row r="33" spans="1:4">
      <c r="A33" s="11" t="s">
        <v>1225</v>
      </c>
      <c r="B33" s="6" t="s">
        <v>1226</v>
      </c>
      <c r="C33" s="11" t="s">
        <v>4</v>
      </c>
      <c r="D33" s="6" t="s">
        <v>1227</v>
      </c>
    </row>
    <row r="34" spans="1:4">
      <c r="A34" s="11" t="s">
        <v>1228</v>
      </c>
      <c r="B34" s="6" t="s">
        <v>1229</v>
      </c>
      <c r="C34" s="11" t="s">
        <v>4</v>
      </c>
      <c r="D34" s="6" t="s">
        <v>1230</v>
      </c>
    </row>
    <row r="35" spans="1:4">
      <c r="A35" s="11" t="s">
        <v>1231</v>
      </c>
      <c r="B35" s="6" t="s">
        <v>1232</v>
      </c>
      <c r="C35" s="11" t="s">
        <v>4</v>
      </c>
      <c r="D35" s="6" t="s">
        <v>1233</v>
      </c>
    </row>
    <row r="36" ht="22.8" spans="1:4">
      <c r="A36" s="11" t="s">
        <v>1234</v>
      </c>
      <c r="B36" s="6" t="s">
        <v>1235</v>
      </c>
      <c r="C36" s="11" t="s">
        <v>5</v>
      </c>
      <c r="D36" s="6" t="s">
        <v>1236</v>
      </c>
    </row>
    <row r="37" spans="1:4">
      <c r="A37" s="11" t="s">
        <v>1237</v>
      </c>
      <c r="B37" s="6" t="s">
        <v>1238</v>
      </c>
      <c r="C37" s="11" t="s">
        <v>4</v>
      </c>
      <c r="D37" s="6" t="s">
        <v>1239</v>
      </c>
    </row>
    <row r="38" spans="1:4">
      <c r="A38" s="11" t="s">
        <v>1240</v>
      </c>
      <c r="B38" s="6" t="s">
        <v>1241</v>
      </c>
      <c r="C38" s="11" t="s">
        <v>4</v>
      </c>
      <c r="D38" s="6" t="s">
        <v>1242</v>
      </c>
    </row>
    <row r="40" spans="1:4">
      <c r="A40" s="3" t="s">
        <v>1243</v>
      </c>
    </row>
    <row r="41" spans="1:4">
      <c r="A41" s="10" t="s">
        <v>1244</v>
      </c>
      <c r="B41" s="5" t="s">
        <v>1245</v>
      </c>
      <c r="C41" s="10" t="s">
        <v>71</v>
      </c>
      <c r="D41" s="5" t="s">
        <v>1246</v>
      </c>
    </row>
    <row r="42" spans="1:4">
      <c r="A42" s="11" t="s">
        <v>1247</v>
      </c>
      <c r="B42" s="6" t="s">
        <v>1248</v>
      </c>
      <c r="C42" s="11" t="s">
        <v>4</v>
      </c>
      <c r="D42" s="6" t="s">
        <v>1249</v>
      </c>
    </row>
    <row r="43" spans="1:4">
      <c r="A43" s="11" t="s">
        <v>1250</v>
      </c>
      <c r="B43" s="6" t="s">
        <v>1251</v>
      </c>
      <c r="C43" s="11" t="s">
        <v>5</v>
      </c>
      <c r="D43" s="6" t="s">
        <v>1252</v>
      </c>
    </row>
    <row r="44" spans="1:4">
      <c r="A44" s="11" t="s">
        <v>1253</v>
      </c>
      <c r="B44" s="6" t="s">
        <v>1254</v>
      </c>
      <c r="C44" s="11" t="s">
        <v>5</v>
      </c>
      <c r="D44" s="6" t="s">
        <v>1255</v>
      </c>
    </row>
    <row r="45" spans="1:4">
      <c r="A45" s="11" t="s">
        <v>1256</v>
      </c>
      <c r="B45" s="6" t="s">
        <v>950</v>
      </c>
      <c r="C45" s="11" t="s">
        <v>4</v>
      </c>
      <c r="D45" s="6" t="s">
        <v>1257</v>
      </c>
    </row>
    <row r="46" spans="1:4">
      <c r="A46" s="11" t="s">
        <v>1258</v>
      </c>
      <c r="B46" s="6" t="s">
        <v>1259</v>
      </c>
      <c r="C46" s="11" t="s">
        <v>4</v>
      </c>
      <c r="D46" s="6" t="s">
        <v>1260</v>
      </c>
    </row>
    <row r="47" spans="1:4">
      <c r="A47" s="11" t="s">
        <v>1261</v>
      </c>
      <c r="B47" s="6" t="s">
        <v>1262</v>
      </c>
      <c r="C47" s="11" t="s">
        <v>4</v>
      </c>
      <c r="D47" s="6" t="s">
        <v>1263</v>
      </c>
    </row>
    <row r="48" spans="1:4">
      <c r="A48" s="11" t="s">
        <v>1264</v>
      </c>
      <c r="B48" s="6" t="s">
        <v>1265</v>
      </c>
      <c r="C48" s="11" t="s">
        <v>4</v>
      </c>
      <c r="D48" s="6" t="s">
        <v>1266</v>
      </c>
    </row>
    <row r="49" spans="1:4">
      <c r="A49" s="11" t="s">
        <v>1267</v>
      </c>
      <c r="B49" s="6" t="s">
        <v>1268</v>
      </c>
      <c r="C49" s="11" t="s">
        <v>4</v>
      </c>
      <c r="D49" s="6" t="s">
        <v>1269</v>
      </c>
    </row>
    <row r="50" spans="1:4">
      <c r="A50" s="11" t="s">
        <v>1270</v>
      </c>
      <c r="B50" s="6" t="s">
        <v>1271</v>
      </c>
      <c r="C50" s="11" t="s">
        <v>4</v>
      </c>
      <c r="D50" s="6" t="s">
        <v>1272</v>
      </c>
    </row>
    <row r="51" spans="1:4">
      <c r="A51" s="11" t="s">
        <v>1273</v>
      </c>
      <c r="B51" s="6" t="s">
        <v>1274</v>
      </c>
      <c r="C51" s="11" t="s">
        <v>4</v>
      </c>
      <c r="D51" s="6" t="s">
        <v>1275</v>
      </c>
    </row>
    <row r="52" spans="1:4">
      <c r="A52" s="11" t="s">
        <v>1276</v>
      </c>
      <c r="B52" s="6" t="s">
        <v>1277</v>
      </c>
      <c r="C52" s="11" t="s">
        <v>4</v>
      </c>
      <c r="D52" s="6" t="s">
        <v>1278</v>
      </c>
    </row>
    <row r="53" spans="1:4">
      <c r="A53" s="11" t="s">
        <v>1279</v>
      </c>
      <c r="B53" s="6" t="s">
        <v>1280</v>
      </c>
      <c r="C53" s="11" t="s">
        <v>5</v>
      </c>
      <c r="D53" s="6" t="s">
        <v>1281</v>
      </c>
    </row>
    <row r="54" spans="1:4">
      <c r="A54" s="11" t="s">
        <v>1282</v>
      </c>
      <c r="B54" s="6" t="s">
        <v>1283</v>
      </c>
      <c r="C54" s="11" t="s">
        <v>4</v>
      </c>
      <c r="D54" s="6" t="s">
        <v>1284</v>
      </c>
    </row>
    <row r="55" spans="1:4">
      <c r="A55" s="11" t="s">
        <v>1285</v>
      </c>
      <c r="B55" s="6" t="s">
        <v>1286</v>
      </c>
      <c r="C55" s="11" t="s">
        <v>5</v>
      </c>
      <c r="D55" s="6" t="s">
        <v>1287</v>
      </c>
    </row>
    <row r="56" spans="1:4">
      <c r="A56" s="11" t="s">
        <v>1288</v>
      </c>
      <c r="B56" s="6" t="s">
        <v>1289</v>
      </c>
      <c r="C56" s="11" t="s">
        <v>5</v>
      </c>
      <c r="D56" s="6" t="s">
        <v>1290</v>
      </c>
    </row>
    <row r="57" spans="1:4">
      <c r="A57" s="11" t="s">
        <v>1291</v>
      </c>
      <c r="B57" s="6" t="s">
        <v>1292</v>
      </c>
      <c r="C57" s="11" t="s">
        <v>4</v>
      </c>
      <c r="D57" s="6" t="s">
        <v>1293</v>
      </c>
    </row>
    <row r="58" spans="1:4">
      <c r="A58" s="11" t="s">
        <v>1294</v>
      </c>
      <c r="B58" s="6" t="s">
        <v>1295</v>
      </c>
      <c r="C58" s="11" t="s">
        <v>4</v>
      </c>
      <c r="D58" s="6" t="s">
        <v>1296</v>
      </c>
    </row>
    <row r="59" spans="1:4">
      <c r="A59" s="11" t="s">
        <v>1297</v>
      </c>
      <c r="B59" s="6" t="s">
        <v>1298</v>
      </c>
      <c r="C59" s="11" t="s">
        <v>4</v>
      </c>
      <c r="D59" s="6" t="s">
        <v>1299</v>
      </c>
    </row>
    <row r="60" spans="1:4">
      <c r="A60" s="11" t="s">
        <v>1300</v>
      </c>
      <c r="B60" s="6" t="s">
        <v>1301</v>
      </c>
      <c r="C60" s="11" t="s">
        <v>5</v>
      </c>
      <c r="D60" s="6" t="s">
        <v>1302</v>
      </c>
    </row>
    <row r="61" spans="1:4">
      <c r="A61" s="11" t="s">
        <v>1303</v>
      </c>
      <c r="B61" s="6" t="s">
        <v>1304</v>
      </c>
      <c r="C61" s="11" t="s">
        <v>5</v>
      </c>
      <c r="D61" s="6" t="s">
        <v>1305</v>
      </c>
    </row>
    <row r="63" spans="1:4">
      <c r="A63" s="3" t="s">
        <v>1306</v>
      </c>
    </row>
    <row r="64" spans="1:4">
      <c r="A64" s="10" t="s">
        <v>1050</v>
      </c>
      <c r="B64" s="5" t="s">
        <v>1307</v>
      </c>
      <c r="C64" s="10" t="s">
        <v>71</v>
      </c>
      <c r="D64" s="5" t="s">
        <v>1246</v>
      </c>
    </row>
    <row r="65" spans="1:4">
      <c r="A65" s="11" t="s">
        <v>1308</v>
      </c>
      <c r="B65" s="6" t="s">
        <v>1309</v>
      </c>
      <c r="C65" s="11" t="s">
        <v>4</v>
      </c>
      <c r="D65" s="6" t="s">
        <v>1310</v>
      </c>
    </row>
    <row r="66" spans="1:4">
      <c r="A66" s="11" t="s">
        <v>1311</v>
      </c>
      <c r="B66" s="6" t="s">
        <v>1312</v>
      </c>
      <c r="C66" s="11" t="s">
        <v>4</v>
      </c>
      <c r="D66" s="6" t="s">
        <v>1310</v>
      </c>
    </row>
    <row r="67" spans="1:4">
      <c r="A67" s="11" t="s">
        <v>1313</v>
      </c>
      <c r="B67" s="6" t="s">
        <v>1314</v>
      </c>
      <c r="C67" s="11" t="s">
        <v>4</v>
      </c>
      <c r="D67" s="6" t="s">
        <v>1310</v>
      </c>
    </row>
    <row r="68" ht="22.8" spans="1:4">
      <c r="A68" s="11" t="s">
        <v>1315</v>
      </c>
      <c r="B68" s="6" t="s">
        <v>1316</v>
      </c>
      <c r="C68" s="11" t="s">
        <v>4</v>
      </c>
      <c r="D68" s="6" t="s">
        <v>1310</v>
      </c>
    </row>
    <row r="69" spans="1:4">
      <c r="A69" s="11" t="s">
        <v>1317</v>
      </c>
      <c r="B69" s="6" t="s">
        <v>1318</v>
      </c>
      <c r="C69" s="11" t="s">
        <v>4</v>
      </c>
      <c r="D69" s="6" t="s">
        <v>1310</v>
      </c>
    </row>
    <row r="70" spans="1:4">
      <c r="A70" s="11" t="s">
        <v>1319</v>
      </c>
      <c r="B70" s="6" t="s">
        <v>1320</v>
      </c>
      <c r="C70" s="11" t="s">
        <v>4</v>
      </c>
      <c r="D70" s="6" t="s">
        <v>1310</v>
      </c>
    </row>
    <row r="71" ht="22.8" spans="1:4">
      <c r="A71" s="11" t="s">
        <v>1321</v>
      </c>
      <c r="B71" s="6" t="s">
        <v>1322</v>
      </c>
      <c r="C71" s="11" t="s">
        <v>4</v>
      </c>
      <c r="D71" s="6" t="s">
        <v>1310</v>
      </c>
    </row>
    <row r="72" spans="1:4">
      <c r="A72" s="11" t="s">
        <v>1323</v>
      </c>
      <c r="B72" s="6" t="s">
        <v>1324</v>
      </c>
      <c r="C72" s="11" t="s">
        <v>4</v>
      </c>
      <c r="D72" s="6" t="s">
        <v>1310</v>
      </c>
    </row>
    <row r="73" spans="1:4">
      <c r="A73" s="11" t="s">
        <v>1325</v>
      </c>
      <c r="B73" s="6" t="s">
        <v>1326</v>
      </c>
      <c r="C73" s="11" t="s">
        <v>4</v>
      </c>
      <c r="D73" s="6" t="s">
        <v>1310</v>
      </c>
    </row>
    <row r="74" spans="1:4">
      <c r="A74" s="11" t="s">
        <v>1327</v>
      </c>
      <c r="B74" s="6" t="s">
        <v>1328</v>
      </c>
      <c r="C74" s="11" t="s">
        <v>4</v>
      </c>
      <c r="D74" s="6" t="s">
        <v>1310</v>
      </c>
    </row>
    <row r="75" spans="1:4">
      <c r="A75" s="11" t="s">
        <v>1329</v>
      </c>
      <c r="B75" s="6" t="s">
        <v>1330</v>
      </c>
      <c r="C75" s="11" t="s">
        <v>4</v>
      </c>
      <c r="D75" s="6" t="s">
        <v>1310</v>
      </c>
    </row>
    <row r="76" spans="1:4">
      <c r="A76" s="11" t="s">
        <v>1331</v>
      </c>
      <c r="B76" s="6" t="s">
        <v>1332</v>
      </c>
      <c r="C76" s="11" t="s">
        <v>4</v>
      </c>
      <c r="D76" s="6" t="s">
        <v>1310</v>
      </c>
    </row>
    <row r="77" ht="22.8" spans="1:4">
      <c r="A77" s="11" t="s">
        <v>1333</v>
      </c>
      <c r="B77" s="6" t="s">
        <v>1334</v>
      </c>
      <c r="C77" s="11" t="s">
        <v>4</v>
      </c>
      <c r="D77" s="6" t="s">
        <v>1310</v>
      </c>
    </row>
    <row r="78" spans="1:4">
      <c r="A78" s="11" t="s">
        <v>1335</v>
      </c>
      <c r="B78" s="6" t="s">
        <v>1336</v>
      </c>
      <c r="C78" s="11" t="s">
        <v>4</v>
      </c>
      <c r="D78" s="6" t="s">
        <v>1310</v>
      </c>
    </row>
    <row r="79" ht="22.8" spans="1:4">
      <c r="A79" s="11" t="s">
        <v>1337</v>
      </c>
      <c r="B79" s="6" t="s">
        <v>1338</v>
      </c>
      <c r="C79" s="11" t="s">
        <v>4</v>
      </c>
      <c r="D79" s="6" t="s">
        <v>1310</v>
      </c>
    </row>
    <row r="80" ht="22.8" spans="1:4">
      <c r="A80" s="11" t="s">
        <v>1339</v>
      </c>
      <c r="B80" s="6" t="s">
        <v>1340</v>
      </c>
      <c r="C80" s="11" t="s">
        <v>4</v>
      </c>
      <c r="D80" s="6" t="s">
        <v>1310</v>
      </c>
    </row>
    <row r="81" ht="22.8" spans="1:4">
      <c r="A81" s="11" t="s">
        <v>1341</v>
      </c>
      <c r="B81" s="6" t="s">
        <v>1342</v>
      </c>
      <c r="C81" s="11" t="s">
        <v>4</v>
      </c>
      <c r="D81" s="6" t="s">
        <v>1310</v>
      </c>
    </row>
  </sheetData>
  <conditionalFormatting sqref="C6:C38">
    <cfRule type="cellIs" dxfId="0" priority="1" operator="equal">
      <formula>"Met"</formula>
    </cfRule>
    <cfRule type="cellIs" dxfId="1" priority="2" operator="equal">
      <formula>"Partially met"</formula>
    </cfRule>
    <cfRule type="cellIs" dxfId="2" priority="3" operator="equal">
      <formula>"Not met"</formula>
    </cfRule>
  </conditionalFormatting>
  <conditionalFormatting sqref="C42:C61">
    <cfRule type="cellIs" dxfId="0" priority="4" operator="equal">
      <formula>"Met"</formula>
    </cfRule>
    <cfRule type="cellIs" dxfId="1" priority="5" operator="equal">
      <formula>"Partially met"</formula>
    </cfRule>
    <cfRule type="cellIs" dxfId="2" priority="6" operator="equal">
      <formula>"Not met"</formula>
    </cfRule>
  </conditionalFormatting>
  <conditionalFormatting sqref="C65:C81">
    <cfRule type="cellIs" dxfId="0" priority="7" operator="equal">
      <formula>"Met"</formula>
    </cfRule>
    <cfRule type="cellIs" dxfId="1" priority="8" operator="equal">
      <formula>"Partially met"</formula>
    </cfRule>
    <cfRule type="cellIs" dxfId="2" priority="9" operator="equal">
      <formula>"Not met"</formula>
    </cfRule>
  </conditionalFormatting>
  <pageMargins left="0.3" right="0.3" top="0.5" bottom="0.5" header="0.5" footer="0.5"/>
  <pageSetup paperSize="1" scale="98"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8"/>
  <sheetViews>
    <sheetView showGridLines="0" workbookViewId="0">
      <pane ySplit="4" topLeftCell="A5" activePane="bottomLeft" state="frozen"/>
      <selection/>
      <selection pane="bottomLeft" activeCell="A1" sqref="A1"/>
    </sheetView>
  </sheetViews>
  <sheetFormatPr defaultColWidth="9" defaultRowHeight="14.4"/>
  <cols>
    <col min="1" max="1" width="8" customWidth="1"/>
    <col min="2" max="2" width="20" customWidth="1"/>
    <col min="3" max="3" width="26" customWidth="1"/>
    <col min="4" max="4" width="52" customWidth="1"/>
    <col min="5" max="5" width="7" customWidth="1"/>
    <col min="6" max="6" width="11" customWidth="1"/>
    <col min="7" max="7" width="12" customWidth="1"/>
    <col min="8" max="8" width="16" customWidth="1"/>
    <col min="9" max="9" width="48" customWidth="1"/>
  </cols>
  <sheetData>
    <row r="1" ht="19.2" spans="1:9">
      <c r="A1" s="1" t="s">
        <v>1343</v>
      </c>
    </row>
    <row r="2" spans="1:9">
      <c r="A2" s="2" t="s">
        <v>1344</v>
      </c>
    </row>
    <row r="4" ht="36" spans="1:9">
      <c r="A4" s="10" t="s">
        <v>1345</v>
      </c>
      <c r="B4" s="5" t="s">
        <v>76</v>
      </c>
      <c r="C4" s="5" t="s">
        <v>75</v>
      </c>
      <c r="D4" s="5" t="s">
        <v>1346</v>
      </c>
      <c r="E4" s="10" t="s">
        <v>1347</v>
      </c>
      <c r="F4" s="10" t="s">
        <v>45</v>
      </c>
      <c r="G4" s="10" t="s">
        <v>46</v>
      </c>
      <c r="H4" s="5" t="s">
        <v>1348</v>
      </c>
      <c r="I4" s="5" t="s">
        <v>1349</v>
      </c>
    </row>
    <row r="5" ht="34.2" spans="1:9">
      <c r="A5" s="11" t="s">
        <v>98</v>
      </c>
      <c r="B5" s="6" t="s">
        <v>48</v>
      </c>
      <c r="C5" s="6" t="s">
        <v>1350</v>
      </c>
      <c r="D5" s="6" t="s">
        <v>1351</v>
      </c>
      <c r="E5" s="12" t="s">
        <v>83</v>
      </c>
      <c r="F5" s="11">
        <f>INDEX(Legend!$B$29:$B$32,MATCH(E5,Legend!$A$29:$A$32,0))</f>
        <v>5</v>
      </c>
      <c r="G5" s="11">
        <f>COUNTIFS('Gap Register'!$K$5:$K$126,A5,'Gap Register'!$G$5:$G$126,"&lt;&gt;Met")</f>
        <v>5</v>
      </c>
      <c r="H5" s="6" t="s">
        <v>86</v>
      </c>
      <c r="I5" s="6" t="s">
        <v>1352</v>
      </c>
    </row>
    <row r="6" ht="34.2" spans="1:9">
      <c r="A6" s="11" t="s">
        <v>197</v>
      </c>
      <c r="B6" s="6" t="s">
        <v>50</v>
      </c>
      <c r="C6" s="6" t="s">
        <v>1353</v>
      </c>
      <c r="D6" s="6" t="s">
        <v>1354</v>
      </c>
      <c r="E6" s="12" t="s">
        <v>1355</v>
      </c>
      <c r="F6" s="11">
        <f>INDEX(Legend!$B$29:$B$32,MATCH(E6,Legend!$A$29:$A$32,0))</f>
        <v>10</v>
      </c>
      <c r="G6" s="11">
        <f>COUNTIFS('Gap Register'!$K$5:$K$126,A6,'Gap Register'!$G$5:$G$126,"&lt;&gt;Met")</f>
        <v>4</v>
      </c>
      <c r="H6" s="6" t="s">
        <v>1356</v>
      </c>
      <c r="I6" s="6" t="s">
        <v>1357</v>
      </c>
    </row>
    <row r="7" ht="22.8" spans="1:9">
      <c r="A7" s="11" t="s">
        <v>151</v>
      </c>
      <c r="B7" s="6" t="s">
        <v>50</v>
      </c>
      <c r="C7" s="6" t="s">
        <v>1358</v>
      </c>
      <c r="D7" s="6" t="s">
        <v>1359</v>
      </c>
      <c r="E7" s="12" t="s">
        <v>1355</v>
      </c>
      <c r="F7" s="11">
        <f>INDEX(Legend!$B$29:$B$32,MATCH(E7,Legend!$A$29:$A$32,0))</f>
        <v>10</v>
      </c>
      <c r="G7" s="11">
        <f>COUNTIFS('Gap Register'!$K$5:$K$126,A7,'Gap Register'!$G$5:$G$126,"&lt;&gt;Met")</f>
        <v>3</v>
      </c>
      <c r="H7" s="6" t="s">
        <v>1360</v>
      </c>
      <c r="I7" s="6" t="s">
        <v>1361</v>
      </c>
    </row>
    <row r="8" ht="22.8" spans="1:9">
      <c r="A8" s="11" t="s">
        <v>127</v>
      </c>
      <c r="B8" s="6" t="s">
        <v>50</v>
      </c>
      <c r="C8" s="6" t="s">
        <v>1362</v>
      </c>
      <c r="D8" s="6" t="s">
        <v>1363</v>
      </c>
      <c r="E8" s="12" t="s">
        <v>83</v>
      </c>
      <c r="F8" s="11">
        <f>INDEX(Legend!$B$29:$B$32,MATCH(E8,Legend!$A$29:$A$32,0))</f>
        <v>5</v>
      </c>
      <c r="G8" s="11">
        <f>COUNTIFS('Gap Register'!$K$5:$K$126,A8,'Gap Register'!$G$5:$G$126,"&lt;&gt;Met")</f>
        <v>3</v>
      </c>
      <c r="H8" s="6" t="s">
        <v>1364</v>
      </c>
      <c r="I8" s="6" t="s">
        <v>1365</v>
      </c>
    </row>
    <row r="9" ht="22.8" spans="1:9">
      <c r="A9" s="11" t="s">
        <v>435</v>
      </c>
      <c r="B9" s="6" t="s">
        <v>50</v>
      </c>
      <c r="C9" s="6" t="s">
        <v>1366</v>
      </c>
      <c r="D9" s="6" t="s">
        <v>1367</v>
      </c>
      <c r="E9" s="12" t="s">
        <v>83</v>
      </c>
      <c r="F9" s="11">
        <f>INDEX(Legend!$B$29:$B$32,MATCH(E9,Legend!$A$29:$A$32,0))</f>
        <v>5</v>
      </c>
      <c r="G9" s="11">
        <f>COUNTIFS('Gap Register'!$K$5:$K$126,A9,'Gap Register'!$G$5:$G$126,"&lt;&gt;Met")</f>
        <v>3</v>
      </c>
      <c r="H9" s="6" t="s">
        <v>1368</v>
      </c>
      <c r="I9" s="6" t="s">
        <v>1369</v>
      </c>
    </row>
    <row r="10" ht="34.2" spans="1:9">
      <c r="A10" s="11" t="s">
        <v>535</v>
      </c>
      <c r="B10" s="6" t="s">
        <v>50</v>
      </c>
      <c r="C10" s="6" t="s">
        <v>1370</v>
      </c>
      <c r="D10" s="6" t="s">
        <v>1371</v>
      </c>
      <c r="E10" s="12" t="s">
        <v>1355</v>
      </c>
      <c r="F10" s="11">
        <f>INDEX(Legend!$B$29:$B$32,MATCH(E10,Legend!$A$29:$A$32,0))</f>
        <v>10</v>
      </c>
      <c r="G10" s="11">
        <f>COUNTIFS('Gap Register'!$K$5:$K$126,A10,'Gap Register'!$G$5:$G$126,"&lt;&gt;Met")</f>
        <v>6</v>
      </c>
      <c r="H10" s="6" t="s">
        <v>1372</v>
      </c>
      <c r="I10" s="6" t="s">
        <v>1373</v>
      </c>
    </row>
    <row r="11" ht="22.8" spans="1:9">
      <c r="A11" s="11" t="s">
        <v>373</v>
      </c>
      <c r="B11" s="6" t="s">
        <v>50</v>
      </c>
      <c r="C11" s="6" t="s">
        <v>1374</v>
      </c>
      <c r="D11" s="6" t="s">
        <v>1375</v>
      </c>
      <c r="E11" s="12" t="s">
        <v>83</v>
      </c>
      <c r="F11" s="11">
        <f>INDEX(Legend!$B$29:$B$32,MATCH(E11,Legend!$A$29:$A$32,0))</f>
        <v>5</v>
      </c>
      <c r="G11" s="11">
        <f>COUNTIFS('Gap Register'!$K$5:$K$126,A11,'Gap Register'!$G$5:$G$126,"&lt;&gt;Met")</f>
        <v>4</v>
      </c>
      <c r="H11" s="6" t="s">
        <v>1376</v>
      </c>
      <c r="I11" s="6" t="s">
        <v>1377</v>
      </c>
    </row>
    <row r="12" ht="34.2" spans="1:9">
      <c r="A12" s="11" t="s">
        <v>520</v>
      </c>
      <c r="B12" s="6" t="s">
        <v>52</v>
      </c>
      <c r="C12" s="6" t="s">
        <v>1378</v>
      </c>
      <c r="D12" s="6" t="s">
        <v>1379</v>
      </c>
      <c r="E12" s="12" t="s">
        <v>1380</v>
      </c>
      <c r="F12" s="11">
        <f>INDEX(Legend!$B$29:$B$32,MATCH(E12,Legend!$A$29:$A$32,0))</f>
        <v>20</v>
      </c>
      <c r="G12" s="11">
        <f>COUNTIFS('Gap Register'!$K$5:$K$126,A12,'Gap Register'!$G$5:$G$126,"&lt;&gt;Met")</f>
        <v>5</v>
      </c>
      <c r="H12" s="6" t="s">
        <v>1381</v>
      </c>
      <c r="I12" s="6" t="s">
        <v>1382</v>
      </c>
    </row>
    <row r="13" ht="22.8" spans="1:9">
      <c r="A13" s="11" t="s">
        <v>564</v>
      </c>
      <c r="B13" s="6" t="s">
        <v>52</v>
      </c>
      <c r="C13" s="6" t="s">
        <v>1383</v>
      </c>
      <c r="D13" s="6" t="s">
        <v>1384</v>
      </c>
      <c r="E13" s="12" t="s">
        <v>83</v>
      </c>
      <c r="F13" s="11">
        <f>INDEX(Legend!$B$29:$B$32,MATCH(E13,Legend!$A$29:$A$32,0))</f>
        <v>5</v>
      </c>
      <c r="G13" s="11">
        <f>COUNTIFS('Gap Register'!$K$5:$K$126,A13,'Gap Register'!$G$5:$G$126,"&lt;&gt;Met")</f>
        <v>0</v>
      </c>
      <c r="H13" s="6" t="s">
        <v>520</v>
      </c>
      <c r="I13" s="6" t="s">
        <v>561</v>
      </c>
    </row>
    <row r="14" ht="22.8" spans="1:9">
      <c r="A14" s="11" t="s">
        <v>280</v>
      </c>
      <c r="B14" s="6" t="s">
        <v>53</v>
      </c>
      <c r="C14" s="6" t="s">
        <v>1385</v>
      </c>
      <c r="D14" s="6" t="s">
        <v>1386</v>
      </c>
      <c r="E14" s="12" t="s">
        <v>1380</v>
      </c>
      <c r="F14" s="11">
        <f>INDEX(Legend!$B$29:$B$32,MATCH(E14,Legend!$A$29:$A$32,0))</f>
        <v>20</v>
      </c>
      <c r="G14" s="11">
        <f>COUNTIFS('Gap Register'!$K$5:$K$126,A14,'Gap Register'!$G$5:$G$126,"&lt;&gt;Met")</f>
        <v>2</v>
      </c>
      <c r="H14" s="6" t="s">
        <v>151</v>
      </c>
      <c r="I14" s="6" t="s">
        <v>1387</v>
      </c>
    </row>
    <row r="15" ht="22.8" spans="1:9">
      <c r="A15" s="11" t="s">
        <v>310</v>
      </c>
      <c r="B15" s="6" t="s">
        <v>55</v>
      </c>
      <c r="C15" s="6" t="s">
        <v>1388</v>
      </c>
      <c r="D15" s="6" t="s">
        <v>1389</v>
      </c>
      <c r="E15" s="12" t="s">
        <v>1355</v>
      </c>
      <c r="F15" s="11">
        <f>INDEX(Legend!$B$29:$B$32,MATCH(E15,Legend!$A$29:$A$32,0))</f>
        <v>10</v>
      </c>
      <c r="G15" s="11">
        <f>COUNTIFS('Gap Register'!$K$5:$K$126,A15,'Gap Register'!$G$5:$G$126,"&lt;&gt;Met")</f>
        <v>2</v>
      </c>
      <c r="H15" s="6" t="s">
        <v>197</v>
      </c>
      <c r="I15" s="6" t="s">
        <v>1390</v>
      </c>
    </row>
    <row r="16" ht="22.8" spans="1:9">
      <c r="A16" s="11" t="s">
        <v>409</v>
      </c>
      <c r="B16" s="6" t="s">
        <v>55</v>
      </c>
      <c r="C16" s="6" t="s">
        <v>1391</v>
      </c>
      <c r="D16" s="6" t="s">
        <v>1392</v>
      </c>
      <c r="E16" s="12" t="s">
        <v>1355</v>
      </c>
      <c r="F16" s="11">
        <f>INDEX(Legend!$B$29:$B$32,MATCH(E16,Legend!$A$29:$A$32,0))</f>
        <v>10</v>
      </c>
      <c r="G16" s="11">
        <f>COUNTIFS('Gap Register'!$K$5:$K$126,A16,'Gap Register'!$G$5:$G$126,"&lt;&gt;Met")</f>
        <v>5</v>
      </c>
      <c r="H16" s="6" t="s">
        <v>280</v>
      </c>
      <c r="I16" s="6" t="s">
        <v>1393</v>
      </c>
    </row>
    <row r="17" ht="34.2" spans="1:9">
      <c r="A17" s="11" t="s">
        <v>170</v>
      </c>
      <c r="B17" s="6" t="s">
        <v>50</v>
      </c>
      <c r="C17" s="6" t="s">
        <v>1394</v>
      </c>
      <c r="D17" s="6" t="s">
        <v>1395</v>
      </c>
      <c r="E17" s="12" t="s">
        <v>83</v>
      </c>
      <c r="F17" s="11">
        <f>INDEX(Legend!$B$29:$B$32,MATCH(E17,Legend!$A$29:$A$32,0))</f>
        <v>5</v>
      </c>
      <c r="G17" s="11">
        <f>COUNTIFS('Gap Register'!$K$5:$K$126,A17,'Gap Register'!$G$5:$G$126,"&lt;&gt;Met")</f>
        <v>8</v>
      </c>
      <c r="H17" s="6" t="s">
        <v>197</v>
      </c>
      <c r="I17" s="6" t="s">
        <v>1396</v>
      </c>
    </row>
    <row r="18" spans="1:9">
      <c r="C18" s="13" t="s">
        <v>22</v>
      </c>
      <c r="F18" s="14">
        <f>SUM(F5:F17)</f>
        <v>120</v>
      </c>
      <c r="G18" s="14">
        <f>SUM(G5:G17)</f>
        <v>50</v>
      </c>
    </row>
  </sheetData>
  <dataValidations count="1">
    <dataValidation type="list" sqref="E5:E17">
      <formula1>"S,M,L,XL"</formula1>
    </dataValidation>
  </dataValidations>
  <pageMargins left="0.3" right="0.3" top="0.5" bottom="0.5" header="0.5" footer="0.5"/>
  <pageSetup paperSize="1" scale="66"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showGridLines="0" workbookViewId="0">
      <selection activeCell="A1" sqref="A1"/>
    </sheetView>
  </sheetViews>
  <sheetFormatPr defaultColWidth="9" defaultRowHeight="14.4" outlineLevelCol="5"/>
  <cols>
    <col min="1" max="1" width="18" customWidth="1"/>
    <col min="2" max="2" width="70" customWidth="1"/>
    <col min="3" max="3" width="30" customWidth="1"/>
    <col min="4" max="6" width="14" customWidth="1"/>
  </cols>
  <sheetData>
    <row r="1" ht="19.2" spans="1:2">
      <c r="A1" s="1" t="s">
        <v>1397</v>
      </c>
    </row>
    <row r="2" spans="1:2">
      <c r="A2" s="2" t="s">
        <v>1398</v>
      </c>
    </row>
    <row r="4" spans="1:2">
      <c r="A4" s="3" t="s">
        <v>1399</v>
      </c>
    </row>
    <row r="5" ht="26" customHeight="1" spans="1:2">
      <c r="A5" s="4" t="s">
        <v>1400</v>
      </c>
    </row>
    <row r="6" ht="26" customHeight="1" spans="1:2">
      <c r="A6" s="4" t="s">
        <v>1401</v>
      </c>
    </row>
    <row r="7" ht="26" customHeight="1" spans="1:2">
      <c r="A7" s="4" t="s">
        <v>1402</v>
      </c>
    </row>
    <row r="8" ht="26" customHeight="1" spans="1:2">
      <c r="A8" s="4" t="s">
        <v>1403</v>
      </c>
    </row>
    <row r="9" ht="26" customHeight="1" spans="1:2">
      <c r="A9" s="4" t="s">
        <v>1404</v>
      </c>
    </row>
    <row r="10" ht="26" customHeight="1" spans="1:2">
      <c r="A10" s="4" t="s">
        <v>1405</v>
      </c>
    </row>
    <row r="11" ht="26" customHeight="1" spans="1:2">
      <c r="A11" s="4" t="s">
        <v>1406</v>
      </c>
    </row>
    <row r="13" spans="1:2">
      <c r="A13" s="3" t="s">
        <v>1407</v>
      </c>
    </row>
    <row r="14" spans="1:2">
      <c r="A14" s="5" t="s">
        <v>71</v>
      </c>
      <c r="B14" s="5" t="s">
        <v>1408</v>
      </c>
    </row>
    <row r="15" spans="1:2">
      <c r="A15" s="6" t="s">
        <v>4</v>
      </c>
      <c r="B15" s="6" t="s">
        <v>1409</v>
      </c>
    </row>
    <row r="16" spans="1:2">
      <c r="A16" s="6" t="s">
        <v>5</v>
      </c>
      <c r="B16" s="6" t="s">
        <v>1410</v>
      </c>
    </row>
    <row r="17" spans="1:3">
      <c r="A17" s="6" t="s">
        <v>6</v>
      </c>
      <c r="B17" s="6" t="s">
        <v>1411</v>
      </c>
    </row>
    <row r="19" spans="1:3">
      <c r="A19" s="3" t="s">
        <v>1412</v>
      </c>
    </row>
    <row r="20" spans="1:3">
      <c r="A20" s="5" t="s">
        <v>788</v>
      </c>
      <c r="B20" s="5" t="s">
        <v>1408</v>
      </c>
    </row>
    <row r="21" spans="1:3">
      <c r="A21" s="6" t="s">
        <v>12</v>
      </c>
      <c r="B21" s="6" t="s">
        <v>1413</v>
      </c>
    </row>
    <row r="22" spans="1:3">
      <c r="A22" s="6" t="s">
        <v>14</v>
      </c>
      <c r="B22" s="6" t="s">
        <v>1414</v>
      </c>
    </row>
    <row r="23" spans="1:3">
      <c r="A23" s="6" t="s">
        <v>15</v>
      </c>
      <c r="B23" s="6" t="s">
        <v>1415</v>
      </c>
    </row>
    <row r="24" spans="1:3">
      <c r="A24" s="6" t="s">
        <v>18</v>
      </c>
      <c r="B24" s="6" t="s">
        <v>1416</v>
      </c>
    </row>
    <row r="25" spans="1:3">
      <c r="A25" s="6" t="s">
        <v>20</v>
      </c>
      <c r="B25" s="6" t="s">
        <v>1417</v>
      </c>
    </row>
    <row r="27" spans="1:3">
      <c r="A27" s="3" t="s">
        <v>1418</v>
      </c>
    </row>
    <row r="28" spans="1:3">
      <c r="A28" s="5" t="s">
        <v>1347</v>
      </c>
      <c r="B28" s="5" t="s">
        <v>1419</v>
      </c>
      <c r="C28" s="5" t="s">
        <v>1408</v>
      </c>
    </row>
    <row r="29" spans="1:3">
      <c r="A29" s="6" t="s">
        <v>142</v>
      </c>
      <c r="B29" s="7">
        <v>2</v>
      </c>
      <c r="C29" s="6" t="s">
        <v>1420</v>
      </c>
    </row>
    <row r="30" spans="1:3">
      <c r="A30" s="6" t="s">
        <v>83</v>
      </c>
      <c r="B30" s="7">
        <v>5</v>
      </c>
      <c r="C30" s="6" t="s">
        <v>1421</v>
      </c>
    </row>
    <row r="31" spans="1:3">
      <c r="A31" s="6" t="s">
        <v>1355</v>
      </c>
      <c r="B31" s="7">
        <v>10</v>
      </c>
      <c r="C31" s="6" t="s">
        <v>1422</v>
      </c>
    </row>
    <row r="32" spans="1:3">
      <c r="A32" s="6" t="s">
        <v>1380</v>
      </c>
      <c r="B32" s="7">
        <v>20</v>
      </c>
      <c r="C32" s="6" t="s">
        <v>1423</v>
      </c>
    </row>
    <row r="34" spans="1:3">
      <c r="A34" s="8" t="s">
        <v>1424</v>
      </c>
      <c r="B34" s="9">
        <v>0.5</v>
      </c>
      <c r="C34" s="2" t="s">
        <v>1425</v>
      </c>
    </row>
  </sheetData>
  <mergeCells count="7">
    <mergeCell ref="A5:F5"/>
    <mergeCell ref="A6:F6"/>
    <mergeCell ref="A7:F7"/>
    <mergeCell ref="A8:F8"/>
    <mergeCell ref="A9:F9"/>
    <mergeCell ref="A10:F10"/>
    <mergeCell ref="A11:F11"/>
  </mergeCells>
  <conditionalFormatting sqref="A15:A17">
    <cfRule type="cellIs" dxfId="0" priority="1" operator="equal">
      <formula>"Met"</formula>
    </cfRule>
    <cfRule type="cellIs" dxfId="1" priority="2" operator="equal">
      <formula>"Partially met"</formula>
    </cfRule>
    <cfRule type="cellIs" dxfId="2" priority="3" operator="equal">
      <formula>"Not met"</formula>
    </cfRule>
  </conditionalFormatting>
  <conditionalFormatting sqref="A21:A25">
    <cfRule type="cellIs" dxfId="0" priority="4" operator="equal">
      <formula>"PASS"</formula>
    </cfRule>
    <cfRule type="cellIs" dxfId="3" priority="5" operator="equal">
      <formula>"PASS*"</formula>
    </cfRule>
    <cfRule type="cellIs" dxfId="1" priority="6" operator="equal">
      <formula>"PARTIAL"</formula>
    </cfRule>
    <cfRule type="cellIs" dxfId="2" priority="7" operator="equal">
      <formula>"NOT BUILT"</formula>
    </cfRule>
    <cfRule type="cellIs" dxfId="4" priority="8" operator="equal">
      <formula>"FAIL"</formula>
    </cfRule>
  </conditionalFormatting>
  <pageMargins left="0.3" right="0.3" top="0.5" bottom="0.5" header="0.5" footer="0.5"/>
  <pageSetup paperSize="1" scale="83" fitToHeight="0"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Summary</vt:lpstr>
      <vt:lpstr>Gap Register</vt:lpstr>
      <vt:lpstr>Test Results</vt:lpstr>
      <vt:lpstr>Defects</vt:lpstr>
      <vt:lpstr>Deployment Check</vt:lpstr>
      <vt:lpstr>Rules &amp; Reports</vt:lpstr>
      <vt:lpstr>Remediation Plan</vt:lpstr>
      <vt:lpstr>Legend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Business Analyst</cp:lastModifiedBy>
  <dcterms:created xsi:type="dcterms:W3CDTF">2026-09-18T09:14:00Z</dcterms:created>
  <dcterms:modified xsi:type="dcterms:W3CDTF">2026-09-18T09:15:16Z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46D8DF4D174C4710A24EE45B9505EBBD_12</vt:lpwstr>
  </property>
  <property fmtid="{D5CDD505-2E9C-101B-9397-08002B2CF9AE}" pid="3" name="KSOProductBuildVer">
    <vt:lpwstr>1033-12.1.0.28485</vt:lpwstr>
  </property>
  <property fmtid="{D5CDD505-2E9C-101B-9397-08002B2CF9AE}" pid="4" name="CalculationRule">
    <vt:i4>0</vt:i4>
  </property>
</Properties>
</file>